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Report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Fuel Finance</author>
  </authors>
  <commentList>
    <comment ref="C2" authorId="0">
      <text>
        <r>
          <rPr>
            <sz val="10"/>
            <rFont val="Arial"/>
            <family val="2"/>
          </rPr>
          <t xml:space="preserve">MRR = Subscription Revenue this month (PL). Proxy for recurring revenue — Wildcard isn't seat-based SaaS, confirm before using literally as MRR.</t>
        </r>
      </text>
    </comment>
    <comment ref="C3" authorId="0">
      <text>
        <r>
          <rPr>
            <sz val="10"/>
            <rFont val="Arial"/>
            <family val="2"/>
          </rPr>
          <t xml:space="preserve">MANUAL INPUT (yellow) — Subscription Revenue from customers whose first billed month = this month. Not tracked anywhere yet; type it in until the Customer tab adds a first-billed-month flag per customer.</t>
        </r>
      </text>
    </comment>
    <comment ref="C4" authorId="0">
      <text>
        <r>
          <rPr>
            <sz val="10"/>
            <rFont val="Arial"/>
            <family val="2"/>
          </rPr>
          <t xml:space="preserve">ARR = MRR (this sheet, row above) x 12.</t>
        </r>
      </text>
    </comment>
    <comment ref="C5" authorId="0">
      <text>
        <r>
          <rPr>
            <sz val="10"/>
            <rFont val="Arial"/>
            <family val="2"/>
          </rPr>
          <t xml:space="preserve">Total Revenue = PL!Total Revenue (same row PL already totals: Transaction + Subscription + Services).</t>
        </r>
      </text>
    </comment>
    <comment ref="C6" authorId="0">
      <text>
        <r>
          <rPr>
            <sz val="10"/>
            <rFont val="Arial"/>
            <family val="2"/>
          </rPr>
          <t xml:space="preserve">Gross Margin % = PL!'Gross Profit Margin %' / 100 (PL stores it as 42.3, this sheet stores percents as fractions: 0.423).</t>
        </r>
      </text>
    </comment>
    <comment ref="C7" authorId="0">
      <text>
        <r>
          <rPr>
            <sz val="10"/>
            <rFont val="Arial"/>
            <family val="2"/>
          </rPr>
          <t xml:space="preserve">EBITDA proxy = PL!'Operating Profit' (PL doesn't split out D&amp;A/interest separately). Rename the label here to match your PL's exact row name if it's 'Operating Income' or 'Operating Margin' instead.</t>
        </r>
      </text>
    </comment>
    <comment ref="C8" authorId="0">
      <text>
        <r>
          <rPr>
            <sz val="10"/>
            <rFont val="Arial"/>
            <family val="2"/>
          </rPr>
          <t xml:space="preserve">Net Margin % = EBITDA (row above) / Total Revenue (Revenue section) — both same-sheet references.</t>
        </r>
      </text>
    </comment>
    <comment ref="C9" authorId="0">
      <text>
        <r>
          <rPr>
            <sz val="10"/>
            <rFont val="Arial"/>
            <family val="2"/>
          </rPr>
          <t xml:space="preserve">Cash Balance = CF!'Ending Cash' this month.</t>
        </r>
      </text>
    </comment>
    <comment ref="C10" authorId="0">
      <text>
        <r>
          <rPr>
            <sz val="10"/>
            <rFont val="Arial"/>
            <family val="2"/>
          </rPr>
          <t xml:space="preserve">Net Burn = MAX(-CF!'Net Change in Cash', 0) — 0 in a month cash grew, positive $ in a month cash shrank.</t>
        </r>
      </text>
    </comment>
    <comment ref="C11" authorId="0">
      <text>
        <r>
          <rPr>
            <sz val="10"/>
            <rFont val="Arial"/>
            <family val="2"/>
          </rPr>
          <t xml:space="preserve">Runway = Cash Balance / AVERAGE(trailing 3 months of Net Burn). Blank when trailing burn is 0 (no burn = infinite runway, not a number).</t>
        </r>
      </text>
    </comment>
    <comment ref="C12" authorId="0">
      <text>
        <r>
          <rPr>
            <sz val="10"/>
            <rFont val="Arial"/>
            <family val="2"/>
          </rPr>
          <t xml:space="preserve">MANUAL INPUT — total Sales &amp; Marketing $ spent this month. Not a line PL/CF track separately today.</t>
        </r>
      </text>
    </comment>
    <comment ref="C13" authorId="0">
      <text>
        <r>
          <rPr>
            <sz val="10"/>
            <rFont val="Arial"/>
            <family val="2"/>
          </rPr>
          <t xml:space="preserve">MANUAL INPUT — count of new customers acquired this month. Not tracked on the Customer tab yet.</t>
        </r>
      </text>
    </comment>
    <comment ref="C14" authorId="0">
      <text>
        <r>
          <rPr>
            <sz val="10"/>
            <rFont val="Arial"/>
            <family val="2"/>
          </rPr>
          <t xml:space="preserve">MANUAL INPUT — average revenue per customer per month (Total Revenue / active customers). Type per month until Customer tab computes it.</t>
        </r>
      </text>
    </comment>
    <comment ref="C15" authorId="0">
      <text>
        <r>
          <rPr>
            <sz val="10"/>
            <rFont val="Arial"/>
            <family val="2"/>
          </rPr>
          <t xml:space="preserve">MANUAL INPUT — monthly customer churn rate as a fraction (5% = 0.05).</t>
        </r>
      </text>
    </comment>
    <comment ref="C16" authorId="0">
      <text>
        <r>
          <rPr>
            <sz val="10"/>
            <rFont val="Arial"/>
            <family val="2"/>
          </rPr>
          <t xml:space="preserve">MANUAL INPUT — MRR gained this month from existing customers upgrading/expanding.</t>
        </r>
      </text>
    </comment>
    <comment ref="C17" authorId="0">
      <text>
        <r>
          <rPr>
            <sz val="10"/>
            <rFont val="Arial"/>
            <family val="2"/>
          </rPr>
          <t xml:space="preserve">MANUAL INPUT — MRR lost this month from existing customers downgrading (not fully churned).</t>
        </r>
      </text>
    </comment>
    <comment ref="C18" authorId="0">
      <text>
        <r>
          <rPr>
            <sz val="10"/>
            <rFont val="Arial"/>
            <family val="2"/>
          </rPr>
          <t xml:space="preserve">MANUAL INPUT — MRR lost this month from customers who fully churned.</t>
        </r>
      </text>
    </comment>
    <comment ref="C19" authorId="0">
      <text>
        <r>
          <rPr>
            <sz val="10"/>
            <rFont val="Arial"/>
            <family val="2"/>
          </rPr>
          <t xml:space="preserve">CAC = Marketing Spend / New Customers (both Manual Inputs section, same month).</t>
        </r>
      </text>
    </comment>
    <comment ref="C20" authorId="0">
      <text>
        <r>
          <rPr>
            <sz val="10"/>
            <rFont val="Arial"/>
            <family val="2"/>
          </rPr>
          <t xml:space="preserve">LTV = (ARPU x Gross Margin %) / Churn Rate. LTV:CAC = LTV / CAC. All 4 inputs are rows on this same sheet.</t>
        </r>
      </text>
    </comment>
    <comment ref="C21" authorId="0">
      <text>
        <r>
          <rPr>
            <sz val="10"/>
            <rFont val="Arial"/>
            <family val="2"/>
          </rPr>
          <t xml:space="preserve">NRR = (Prior month MRR + Expansion - Contraction - Churned) / Prior month MRR. First month has no prior MRR to compare, so it self-references (reads as 100%) — expected for month 1.</t>
        </r>
      </text>
    </comment>
  </commentList>
</comments>
</file>

<file path=xl/sharedStrings.xml><?xml version="1.0" encoding="utf-8"?>
<sst xmlns="http://schemas.openxmlformats.org/spreadsheetml/2006/main" count="144" uniqueCount="93">
  <si>
    <t xml:space="preserve">Section</t>
  </si>
  <si>
    <t xml:space="preserve">Key</t>
  </si>
  <si>
    <t xml:space="preserve">Label</t>
  </si>
  <si>
    <t xml:space="preserve">Unit</t>
  </si>
  <si>
    <t xml:space="preserve">Type</t>
  </si>
  <si>
    <t xml:space="preserve">Benchmark</t>
  </si>
  <si>
    <t xml:space="preserve">IsTotal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</si>
  <si>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</si>
  <si>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</si>
  <si>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</si>
  <si>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</si>
  <si>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</si>
  <si>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</si>
  <si>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</si>
  <si>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</si>
  <si>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</si>
  <si>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</si>
  <si>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</si>
  <si>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</si>
  <si>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Revenue</t>
  </si>
  <si>
    <t xml:space="preserve">mrr</t>
  </si>
  <si>
    <t xml:space="preserve">MRR</t>
  </si>
  <si>
    <t xml:space="preserve">currency</t>
  </si>
  <si>
    <t xml:space="preserve">stock</t>
  </si>
  <si>
    <t xml:space="preserve">new_mrr</t>
  </si>
  <si>
    <t xml:space="preserve">New MRR</t>
  </si>
  <si>
    <t xml:space="preserve">flow</t>
  </si>
  <si>
    <t xml:space="preserve">arr</t>
  </si>
  <si>
    <t xml:space="preserve">ARR</t>
  </si>
  <si>
    <t xml:space="preserve">total_revenue</t>
  </si>
  <si>
    <t xml:space="preserve">Total Revenue</t>
  </si>
  <si>
    <t xml:space="preserve">Profitability</t>
  </si>
  <si>
    <t xml:space="preserve">gross_margin</t>
  </si>
  <si>
    <t xml:space="preserve">Gross Margin %</t>
  </si>
  <si>
    <t xml:space="preserve">percent</t>
  </si>
  <si>
    <t xml:space="preserve">ratio</t>
  </si>
  <si>
    <t xml:space="preserve">ebitda</t>
  </si>
  <si>
    <t xml:space="preserve">EBITDA</t>
  </si>
  <si>
    <t xml:space="preserve">net_margin</t>
  </si>
  <si>
    <t xml:space="preserve">Net Margin %</t>
  </si>
  <si>
    <t xml:space="preserve">Cash</t>
  </si>
  <si>
    <t xml:space="preserve">cash_balance</t>
  </si>
  <si>
    <t xml:space="preserve">Cash Balance</t>
  </si>
  <si>
    <t xml:space="preserve">burn_rate</t>
  </si>
  <si>
    <t xml:space="preserve">Net Burn</t>
  </si>
  <si>
    <t xml:space="preserve">runway_months</t>
  </si>
  <si>
    <t xml:space="preserve">Runway (Months)</t>
  </si>
  <si>
    <t xml:space="preserve">number</t>
  </si>
  <si>
    <t xml:space="preserve">Manual Inputs</t>
  </si>
  <si>
    <t xml:space="preserve">marketing_spend</t>
  </si>
  <si>
    <t xml:space="preserve">Marketing Spend</t>
  </si>
  <si>
    <t xml:space="preserve">new_customers</t>
  </si>
  <si>
    <t xml:space="preserve">New Customers</t>
  </si>
  <si>
    <t xml:space="preserve">arpu</t>
  </si>
  <si>
    <t xml:space="preserve">ARPU</t>
  </si>
  <si>
    <t xml:space="preserve">churn_rate</t>
  </si>
  <si>
    <t xml:space="preserve">Churn Rate</t>
  </si>
  <si>
    <t xml:space="preserve">expansion_mrr</t>
  </si>
  <si>
    <t xml:space="preserve">Expansion MRR</t>
  </si>
  <si>
    <t xml:space="preserve">contraction_mrr</t>
  </si>
  <si>
    <t xml:space="preserve">Contraction MRR</t>
  </si>
  <si>
    <t xml:space="preserve">churned_mrr</t>
  </si>
  <si>
    <t xml:space="preserve">Churned MRR</t>
  </si>
  <si>
    <t xml:space="preserve">Efficiency</t>
  </si>
  <si>
    <t xml:space="preserve">cac</t>
  </si>
  <si>
    <t xml:space="preserve">CAC</t>
  </si>
  <si>
    <t xml:space="preserve">ltv_cac</t>
  </si>
  <si>
    <t xml:space="preserve">LTV : CAC</t>
  </si>
  <si>
    <t xml:space="preserve">nrr</t>
  </si>
  <si>
    <t xml:space="preserve">Net Revenue Retention</t>
  </si>
  <si>
    <t xml:space="preserve">How this replaces your KPI_Report tab</t>
  </si>
  <si>
    <t xml:space="preserve">Copy this sheet's rows into your live KPI_Report tab (or rename this whole tab</t>
  </si>
  <si>
    <t xml:space="preserve">KPI_Report and swap it in) — the month columns (H onward) use INDEX/MATCH</t>
  </si>
  <si>
    <t xml:space="preserve">formulas against your PL/CF tabs' Label column (C) and month header row (row 1),</t>
  </si>
  <si>
    <t xml:space="preserve">so they work no matter which row number a line item sits on in PL/CF today.</t>
  </si>
  <si>
    <t xml:space="preserve">Column meanings</t>
  </si>
  <si>
    <t xml:space="preserve">flow = a monthly amount, summed for YTD/TTM (Total Revenue, EBITDA, Net Burn)</t>
  </si>
  <si>
    <t xml:space="preserve">stock = a point-in-time balance, never summed (MRR, ARR, Cash Balance, Runway)</t>
  </si>
  <si>
    <t xml:space="preserve">ratio = a % or multiple, averaged (not summed) if you build a YTD/TTM view (Gross Margin %, CAC, LTV:CAC, NRR)</t>
  </si>
  <si>
    <t xml:space="preserve">single target value per metric, not per month, unless you want a benchmark that ramps over time</t>
  </si>
  <si>
    <t xml:space="preserve">Color key</t>
  </si>
  <si>
    <t xml:space="preserve">Blue text / yellow fill</t>
  </si>
  <si>
    <t xml:space="preserve">a cell you type into by hand (Manual Inputs section, and Benchmark column)</t>
  </si>
  <si>
    <t xml:space="preserve">Black text</t>
  </si>
  <si>
    <t xml:space="preserve">a live formula — never overwrite</t>
  </si>
  <si>
    <t xml:space="preserve">Extending months</t>
  </si>
  <si>
    <t xml:space="preserve">This template ships with 2026-01 through 2026-12 as an example.</t>
  </si>
  <si>
    <t xml:space="preserve">Select the last month column's formula row and drag-fill right to add more months —</t>
  </si>
  <si>
    <t xml:space="preserve">just make sure the new header cells keep the same 'YYYY-MM' text as PL/CF's own headers.</t>
  </si>
  <si>
    <t xml:space="preserve">Known gaps (Manual Inputs section)</t>
  </si>
  <si>
    <t xml:space="preserve">marketing_spend / new_customers / arpu / churn_rate / expansion_mrr / contraction_mrr / churned_mrr</t>
  </si>
  <si>
    <t xml:space="preserve">None of these exist in PL, CF, or the Customer tab yet — type them in each month until</t>
  </si>
  <si>
    <t xml:space="preserve">the Customer tab is extended to track them automatically (ask Claude to build that next).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</si>
</sst>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"/>
    <numFmt numFmtId="168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A4A4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19" min="8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/>
      <c r="G2" s="3" t="b">
        <f aca="false">FALSE()</f>
        <v>0</v>
      </c>
      <c r="H2" s="4" t="str">
        <f aca="false">IFERROR(INDEX(pl!$e$2:$zz$500,MATCH("Subscription Revenue",pl!$c$2:$c$500,0),MATCH(H$1,pl!$e$1:$zz$1,0)),"")</f>
        <v/>
      </c>
      <c r="I2" s="4" t="str">
        <f aca="false">IFERROR(INDEX(pl!$e$2:$zz$500,MATCH("Subscription Revenue",pl!$c$2:$c$500,0),MATCH(I$1,pl!$e$1:$zz$1,0)),"")</f>
        <v/>
      </c>
      <c r="J2" s="4" t="str">
        <f aca="false">IFERROR(INDEX(pl!$e$2:$zz$500,MATCH("Subscription Revenue",pl!$c$2:$c$500,0),MATCH(J$1,pl!$e$1:$zz$1,0)),"")</f>
        <v/>
      </c>
      <c r="K2" s="4" t="str">
        <f aca="false">IFERROR(INDEX(pl!$e$2:$zz$500,MATCH("Subscription Revenue",pl!$c$2:$c$500,0),MATCH(K$1,pl!$e$1:$zz$1,0)),"")</f>
        <v/>
      </c>
      <c r="L2" s="4" t="str">
        <f aca="false">IFERROR(INDEX(pl!$e$2:$zz$500,MATCH("Subscription Revenue",pl!$c$2:$c$500,0),MATCH(L$1,pl!$e$1:$zz$1,0)),"")</f>
        <v/>
      </c>
      <c r="M2" s="4" t="str">
        <f aca="false">IFERROR(INDEX(pl!$e$2:$zz$500,MATCH("Subscription Revenue",pl!$c$2:$c$500,0),MATCH(M$1,pl!$e$1:$zz$1,0)),"")</f>
        <v/>
      </c>
      <c r="N2" s="4" t="str">
        <f aca="false">IFERROR(INDEX(pl!$e$2:$zz$500,MATCH("Subscription Revenue",pl!$c$2:$c$500,0),MATCH(N$1,pl!$e$1:$zz$1,0)),"")</f>
        <v/>
      </c>
      <c r="O2" s="4" t="str">
        <f aca="false">IFERROR(INDEX(pl!$e$2:$zz$500,MATCH("Subscription Revenue",pl!$c$2:$c$500,0),MATCH(O$1,pl!$e$1:$zz$1,0)),"")</f>
        <v/>
      </c>
      <c r="P2" s="4" t="str">
        <f aca="false">IFERROR(INDEX(pl!$e$2:$zz$500,MATCH("Subscription Revenue",pl!$c$2:$c$500,0),MATCH(P$1,pl!$e$1:$zz$1,0)),"")</f>
        <v/>
      </c>
      <c r="Q2" s="4" t="str">
        <f aca="false">IFERROR(INDEX(pl!$e$2:$zz$500,MATCH("Subscription Revenue",pl!$c$2:$c$500,0),MATCH(Q$1,pl!$e$1:$zz$1,0)),"")</f>
        <v/>
      </c>
      <c r="R2" s="4" t="str">
        <f aca="false">IFERROR(INDEX(pl!$e$2:$zz$500,MATCH("Subscription Revenue",pl!$c$2:$c$500,0),MATCH(R$1,pl!$e$1:$zz$1,0)),"")</f>
        <v/>
      </c>
      <c r="S2" s="4" t="str">
        <f aca="false">IFERROR(INDEX(pl!$e$2:$zz$500,MATCH("Subscription Revenue",pl!$c$2:$c$500,0),MATCH(S$1,pl!$e$1:$zz$1,0)),"")</f>
        <v/>
      </c>
    </row>
    <row r="3" customFormat="false" ht="15" hidden="false" customHeight="false" outlineLevel="0" collapsed="false">
      <c r="A3" s="2" t="s">
        <v>19</v>
      </c>
      <c r="B3" s="2" t="s">
        <v>24</v>
      </c>
      <c r="C3" s="2" t="s">
        <v>25</v>
      </c>
      <c r="D3" s="2" t="s">
        <v>22</v>
      </c>
      <c r="E3" s="2" t="s">
        <v>26</v>
      </c>
      <c r="F3" s="2"/>
      <c r="G3" s="3" t="b">
        <f aca="false">FALSE()</f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</row>
    <row r="4" customFormat="false" ht="15" hidden="false" customHeight="false" outlineLevel="0" collapsed="false">
      <c r="A4" s="2" t="s">
        <v>19</v>
      </c>
      <c r="B4" s="2" t="s">
        <v>27</v>
      </c>
      <c r="C4" s="2" t="s">
        <v>28</v>
      </c>
      <c r="D4" s="2" t="s">
        <v>22</v>
      </c>
      <c r="E4" s="2" t="s">
        <v>23</v>
      </c>
      <c r="F4" s="2"/>
      <c r="G4" s="3" t="b">
        <f aca="false">FALSE()</f>
        <v>0</v>
      </c>
      <c r="H4" s="4" t="str">
        <f aca="false">IFERROR(H2*12,"")</f>
        <v/>
      </c>
      <c r="I4" s="4" t="str">
        <f aca="false">IFERROR(I2*12,"")</f>
        <v/>
      </c>
      <c r="J4" s="4" t="str">
        <f aca="false">IFERROR(J2*12,"")</f>
        <v/>
      </c>
      <c r="K4" s="4" t="str">
        <f aca="false">IFERROR(K2*12,"")</f>
        <v/>
      </c>
      <c r="L4" s="4" t="str">
        <f aca="false">IFERROR(L2*12,"")</f>
        <v/>
      </c>
      <c r="M4" s="4" t="str">
        <f aca="false">IFERROR(M2*12,"")</f>
        <v/>
      </c>
      <c r="N4" s="4" t="str">
        <f aca="false">IFERROR(N2*12,"")</f>
        <v/>
      </c>
      <c r="O4" s="4" t="str">
        <f aca="false">IFERROR(O2*12,"")</f>
        <v/>
      </c>
      <c r="P4" s="4" t="str">
        <f aca="false">IFERROR(P2*12,"")</f>
        <v/>
      </c>
      <c r="Q4" s="4" t="str">
        <f aca="false">IFERROR(Q2*12,"")</f>
        <v/>
      </c>
      <c r="R4" s="4" t="str">
        <f aca="false">IFERROR(R2*12,"")</f>
        <v/>
      </c>
      <c r="S4" s="4" t="str">
        <f aca="false">IFERROR(S2*12,"")</f>
        <v/>
      </c>
    </row>
    <row r="5" customFormat="false" ht="15" hidden="false" customHeight="false" outlineLevel="0" collapsed="false">
      <c r="A5" s="2" t="s">
        <v>19</v>
      </c>
      <c r="B5" s="2" t="s">
        <v>29</v>
      </c>
      <c r="C5" s="2" t="s">
        <v>30</v>
      </c>
      <c r="D5" s="2" t="s">
        <v>22</v>
      </c>
      <c r="E5" s="2" t="s">
        <v>26</v>
      </c>
      <c r="F5" s="2"/>
      <c r="G5" s="3" t="b">
        <f aca="false">TRUE()</f>
        <v>1</v>
      </c>
      <c r="H5" s="4" t="str">
        <f aca="false">IFERROR(INDEX(pl!$e$2:$zz$500,MATCH("Total Revenue",pl!$c$2:$c$500,0),MATCH(H$1,pl!$e$1:$zz$1,0)),"")</f>
        <v/>
      </c>
      <c r="I5" s="4" t="str">
        <f aca="false">IFERROR(INDEX(pl!$e$2:$zz$500,MATCH("Total Revenue",pl!$c$2:$c$500,0),MATCH(I$1,pl!$e$1:$zz$1,0)),"")</f>
        <v/>
      </c>
      <c r="J5" s="4" t="str">
        <f aca="false">IFERROR(INDEX(pl!$e$2:$zz$500,MATCH("Total Revenue",pl!$c$2:$c$500,0),MATCH(J$1,pl!$e$1:$zz$1,0)),"")</f>
        <v/>
      </c>
      <c r="K5" s="4" t="str">
        <f aca="false">IFERROR(INDEX(pl!$e$2:$zz$500,MATCH("Total Revenue",pl!$c$2:$c$500,0),MATCH(K$1,pl!$e$1:$zz$1,0)),"")</f>
        <v/>
      </c>
      <c r="L5" s="4" t="str">
        <f aca="false">IFERROR(INDEX(pl!$e$2:$zz$500,MATCH("Total Revenue",pl!$c$2:$c$500,0),MATCH(L$1,pl!$e$1:$zz$1,0)),"")</f>
        <v/>
      </c>
      <c r="M5" s="4" t="str">
        <f aca="false">IFERROR(INDEX(pl!$e$2:$zz$500,MATCH("Total Revenue",pl!$c$2:$c$500,0),MATCH(M$1,pl!$e$1:$zz$1,0)),"")</f>
        <v/>
      </c>
      <c r="N5" s="4" t="str">
        <f aca="false">IFERROR(INDEX(pl!$e$2:$zz$500,MATCH("Total Revenue",pl!$c$2:$c$500,0),MATCH(N$1,pl!$e$1:$zz$1,0)),"")</f>
        <v/>
      </c>
      <c r="O5" s="4" t="str">
        <f aca="false">IFERROR(INDEX(pl!$e$2:$zz$500,MATCH("Total Revenue",pl!$c$2:$c$500,0),MATCH(O$1,pl!$e$1:$zz$1,0)),"")</f>
        <v/>
      </c>
      <c r="P5" s="4" t="str">
        <f aca="false">IFERROR(INDEX(pl!$e$2:$zz$500,MATCH("Total Revenue",pl!$c$2:$c$500,0),MATCH(P$1,pl!$e$1:$zz$1,0)),"")</f>
        <v/>
      </c>
      <c r="Q5" s="4" t="str">
        <f aca="false">IFERROR(INDEX(pl!$e$2:$zz$500,MATCH("Total Revenue",pl!$c$2:$c$500,0),MATCH(Q$1,pl!$e$1:$zz$1,0)),"")</f>
        <v/>
      </c>
      <c r="R5" s="4" t="str">
        <f aca="false">IFERROR(INDEX(pl!$e$2:$zz$500,MATCH("Total Revenue",pl!$c$2:$c$500,0),MATCH(R$1,pl!$e$1:$zz$1,0)),"")</f>
        <v/>
      </c>
      <c r="S5" s="4" t="str">
        <f aca="false">IFERROR(INDEX(pl!$e$2:$zz$500,MATCH("Total Revenue",pl!$c$2:$c$500,0),MATCH(S$1,pl!$e$1:$zz$1,0)),"")</f>
        <v/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6" t="n">
        <v>0.7</v>
      </c>
      <c r="G6" s="3" t="b">
        <f aca="false">FALSE()</f>
        <v>0</v>
      </c>
      <c r="H6" s="7" t="str">
        <f aca="false">IFERROR(INDEX(pl!$e$2:$zz$500,MATCH("Gross Profit Margin %",pl!$c$2:$c$500,0),MATCH(H$1,pl!$e$1:$zz$1,0))/100,"")</f>
        <v/>
      </c>
      <c r="I6" s="7" t="str">
        <f aca="false">IFERROR(INDEX(pl!$e$2:$zz$500,MATCH("Gross Profit Margin %",pl!$c$2:$c$500,0),MATCH(I$1,pl!$e$1:$zz$1,0))/100,"")</f>
        <v/>
      </c>
      <c r="J6" s="7" t="str">
        <f aca="false">IFERROR(INDEX(pl!$e$2:$zz$500,MATCH("Gross Profit Margin %",pl!$c$2:$c$500,0),MATCH(J$1,pl!$e$1:$zz$1,0))/100,"")</f>
        <v/>
      </c>
      <c r="K6" s="7" t="str">
        <f aca="false">IFERROR(INDEX(pl!$e$2:$zz$500,MATCH("Gross Profit Margin %",pl!$c$2:$c$500,0),MATCH(K$1,pl!$e$1:$zz$1,0))/100,"")</f>
        <v/>
      </c>
      <c r="L6" s="7" t="str">
        <f aca="false">IFERROR(INDEX(pl!$e$2:$zz$500,MATCH("Gross Profit Margin %",pl!$c$2:$c$500,0),MATCH(L$1,pl!$e$1:$zz$1,0))/100,"")</f>
        <v/>
      </c>
      <c r="M6" s="7" t="str">
        <f aca="false">IFERROR(INDEX(pl!$e$2:$zz$500,MATCH("Gross Profit Margin %",pl!$c$2:$c$500,0),MATCH(M$1,pl!$e$1:$zz$1,0))/100,"")</f>
        <v/>
      </c>
      <c r="N6" s="7" t="str">
        <f aca="false">IFERROR(INDEX(pl!$e$2:$zz$500,MATCH("Gross Profit Margin %",pl!$c$2:$c$500,0),MATCH(N$1,pl!$e$1:$zz$1,0))/100,"")</f>
        <v/>
      </c>
      <c r="O6" s="7" t="str">
        <f aca="false">IFERROR(INDEX(pl!$e$2:$zz$500,MATCH("Gross Profit Margin %",pl!$c$2:$c$500,0),MATCH(O$1,pl!$e$1:$zz$1,0))/100,"")</f>
        <v/>
      </c>
      <c r="P6" s="7" t="str">
        <f aca="false">IFERROR(INDEX(pl!$e$2:$zz$500,MATCH("Gross Profit Margin %",pl!$c$2:$c$500,0),MATCH(P$1,pl!$e$1:$zz$1,0))/100,"")</f>
        <v/>
      </c>
      <c r="Q6" s="7" t="str">
        <f aca="false">IFERROR(INDEX(pl!$e$2:$zz$500,MATCH("Gross Profit Margin %",pl!$c$2:$c$500,0),MATCH(Q$1,pl!$e$1:$zz$1,0))/100,"")</f>
        <v/>
      </c>
      <c r="R6" s="7" t="str">
        <f aca="false">IFERROR(INDEX(pl!$e$2:$zz$500,MATCH("Gross Profit Margin %",pl!$c$2:$c$500,0),MATCH(R$1,pl!$e$1:$zz$1,0))/100,"")</f>
        <v/>
      </c>
      <c r="S6" s="7" t="str">
        <f aca="false">IFERROR(INDEX(pl!$e$2:$zz$500,MATCH("Gross Profit Margin %",pl!$c$2:$c$500,0),MATCH(S$1,pl!$e$1:$zz$1,0))/100,"")</f>
        <v/>
      </c>
    </row>
    <row r="7" customFormat="false" ht="15" hidden="false" customHeight="false" outlineLevel="0" collapsed="false">
      <c r="A7" s="2" t="s">
        <v>31</v>
      </c>
      <c r="B7" s="2" t="s">
        <v>36</v>
      </c>
      <c r="C7" s="2" t="s">
        <v>37</v>
      </c>
      <c r="D7" s="2" t="s">
        <v>22</v>
      </c>
      <c r="E7" s="2" t="s">
        <v>26</v>
      </c>
      <c r="F7" s="2"/>
      <c r="G7" s="3" t="b">
        <f aca="false">FALSE()</f>
        <v>0</v>
      </c>
      <c r="H7" s="4" t="str">
        <f aca="false">IFERROR(INDEX(pl!$e$2:$zz$500,MATCH("Operating Profit",pl!$c$2:$c$500,0),MATCH(H$1,pl!$e$1:$zz$1,0)),"")</f>
        <v/>
      </c>
      <c r="I7" s="4" t="str">
        <f aca="false">IFERROR(INDEX(pl!$e$2:$zz$500,MATCH("Operating Profit",pl!$c$2:$c$500,0),MATCH(I$1,pl!$e$1:$zz$1,0)),"")</f>
        <v/>
      </c>
      <c r="J7" s="4" t="str">
        <f aca="false">IFERROR(INDEX(pl!$e$2:$zz$500,MATCH("Operating Profit",pl!$c$2:$c$500,0),MATCH(J$1,pl!$e$1:$zz$1,0)),"")</f>
        <v/>
      </c>
      <c r="K7" s="4" t="str">
        <f aca="false">IFERROR(INDEX(pl!$e$2:$zz$500,MATCH("Operating Profit",pl!$c$2:$c$500,0),MATCH(K$1,pl!$e$1:$zz$1,0)),"")</f>
        <v/>
      </c>
      <c r="L7" s="4" t="str">
        <f aca="false">IFERROR(INDEX(pl!$e$2:$zz$500,MATCH("Operating Profit",pl!$c$2:$c$500,0),MATCH(L$1,pl!$e$1:$zz$1,0)),"")</f>
        <v/>
      </c>
      <c r="M7" s="4" t="str">
        <f aca="false">IFERROR(INDEX(pl!$e$2:$zz$500,MATCH("Operating Profit",pl!$c$2:$c$500,0),MATCH(M$1,pl!$e$1:$zz$1,0)),"")</f>
        <v/>
      </c>
      <c r="N7" s="4" t="str">
        <f aca="false">IFERROR(INDEX(pl!$e$2:$zz$500,MATCH("Operating Profit",pl!$c$2:$c$500,0),MATCH(N$1,pl!$e$1:$zz$1,0)),"")</f>
        <v/>
      </c>
      <c r="O7" s="4" t="str">
        <f aca="false">IFERROR(INDEX(pl!$e$2:$zz$500,MATCH("Operating Profit",pl!$c$2:$c$500,0),MATCH(O$1,pl!$e$1:$zz$1,0)),"")</f>
        <v/>
      </c>
      <c r="P7" s="4" t="str">
        <f aca="false">IFERROR(INDEX(pl!$e$2:$zz$500,MATCH("Operating Profit",pl!$c$2:$c$500,0),MATCH(P$1,pl!$e$1:$zz$1,0)),"")</f>
        <v/>
      </c>
      <c r="Q7" s="4" t="str">
        <f aca="false">IFERROR(INDEX(pl!$e$2:$zz$500,MATCH("Operating Profit",pl!$c$2:$c$500,0),MATCH(Q$1,pl!$e$1:$zz$1,0)),"")</f>
        <v/>
      </c>
      <c r="R7" s="4" t="str">
        <f aca="false">IFERROR(INDEX(pl!$e$2:$zz$500,MATCH("Operating Profit",pl!$c$2:$c$500,0),MATCH(R$1,pl!$e$1:$zz$1,0)),"")</f>
        <v/>
      </c>
      <c r="S7" s="4" t="str">
        <f aca="false">IFERROR(INDEX(pl!$e$2:$zz$500,MATCH("Operating Profit",pl!$c$2:$c$500,0),MATCH(S$1,pl!$e$1:$zz$1,0)),"")</f>
        <v/>
      </c>
    </row>
    <row r="8" customFormat="false" ht="15" hidden="false" customHeight="false" outlineLevel="0" collapsed="false">
      <c r="A8" s="2" t="s">
        <v>31</v>
      </c>
      <c r="B8" s="2" t="s">
        <v>38</v>
      </c>
      <c r="C8" s="2" t="s">
        <v>39</v>
      </c>
      <c r="D8" s="2" t="s">
        <v>34</v>
      </c>
      <c r="E8" s="2" t="s">
        <v>35</v>
      </c>
      <c r="F8" s="6" t="n">
        <v>0.15</v>
      </c>
      <c r="G8" s="3" t="b">
        <f aca="false">FALSE()</f>
        <v>0</v>
      </c>
      <c r="H8" s="7" t="str">
        <f aca="false">IFERROR(H7/H5,"")</f>
        <v/>
      </c>
      <c r="I8" s="7" t="str">
        <f aca="false">IFERROR(I7/I5,"")</f>
        <v/>
      </c>
      <c r="J8" s="7" t="str">
        <f aca="false">IFERROR(J7/J5,"")</f>
        <v/>
      </c>
      <c r="K8" s="7" t="str">
        <f aca="false">IFERROR(K7/K5,"")</f>
        <v/>
      </c>
      <c r="L8" s="7" t="str">
        <f aca="false">IFERROR(L7/L5,"")</f>
        <v/>
      </c>
      <c r="M8" s="7" t="str">
        <f aca="false">IFERROR(M7/M5,"")</f>
        <v/>
      </c>
      <c r="N8" s="7" t="str">
        <f aca="false">IFERROR(N7/N5,"")</f>
        <v/>
      </c>
      <c r="O8" s="7" t="str">
        <f aca="false">IFERROR(O7/O5,"")</f>
        <v/>
      </c>
      <c r="P8" s="7" t="str">
        <f aca="false">IFERROR(P7/P5,"")</f>
        <v/>
      </c>
      <c r="Q8" s="7" t="str">
        <f aca="false">IFERROR(Q7/Q5,"")</f>
        <v/>
      </c>
      <c r="R8" s="7" t="str">
        <f aca="false">IFERROR(R7/R5,"")</f>
        <v/>
      </c>
      <c r="S8" s="7" t="str">
        <f aca="false">IFERROR(S7/S5,"")</f>
        <v/>
      </c>
    </row>
    <row r="9" customFormat="false" ht="15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22</v>
      </c>
      <c r="E9" s="2" t="s">
        <v>23</v>
      </c>
      <c r="F9" s="2"/>
      <c r="G9" s="3" t="b">
        <f aca="false">FALSE()</f>
        <v>0</v>
      </c>
      <c r="H9" s="4" t="str">
        <f aca="false">IFERROR(INDEX(cf!$e$2:$zz$500,MATCH("Ending Cash",cf!$c$2:$c$500,0),MATCH(H$1,cf!$e$1:$zz$1,0)),"")</f>
        <v/>
      </c>
      <c r="I9" s="4" t="str">
        <f aca="false">IFERROR(INDEX(cf!$e$2:$zz$500,MATCH("Ending Cash",cf!$c$2:$c$500,0),MATCH(I$1,cf!$e$1:$zz$1,0)),"")</f>
        <v/>
      </c>
      <c r="J9" s="4" t="str">
        <f aca="false">IFERROR(INDEX(cf!$e$2:$zz$500,MATCH("Ending Cash",cf!$c$2:$c$500,0),MATCH(J$1,cf!$e$1:$zz$1,0)),"")</f>
        <v/>
      </c>
      <c r="K9" s="4" t="str">
        <f aca="false">IFERROR(INDEX(cf!$e$2:$zz$500,MATCH("Ending Cash",cf!$c$2:$c$500,0),MATCH(K$1,cf!$e$1:$zz$1,0)),"")</f>
        <v/>
      </c>
      <c r="L9" s="4" t="str">
        <f aca="false">IFERROR(INDEX(cf!$e$2:$zz$500,MATCH("Ending Cash",cf!$c$2:$c$500,0),MATCH(L$1,cf!$e$1:$zz$1,0)),"")</f>
        <v/>
      </c>
      <c r="M9" s="4" t="str">
        <f aca="false">IFERROR(INDEX(cf!$e$2:$zz$500,MATCH("Ending Cash",cf!$c$2:$c$500,0),MATCH(M$1,cf!$e$1:$zz$1,0)),"")</f>
        <v/>
      </c>
      <c r="N9" s="4" t="str">
        <f aca="false">IFERROR(INDEX(cf!$e$2:$zz$500,MATCH("Ending Cash",cf!$c$2:$c$500,0),MATCH(N$1,cf!$e$1:$zz$1,0)),"")</f>
        <v/>
      </c>
      <c r="O9" s="4" t="str">
        <f aca="false">IFERROR(INDEX(cf!$e$2:$zz$500,MATCH("Ending Cash",cf!$c$2:$c$500,0),MATCH(O$1,cf!$e$1:$zz$1,0)),"")</f>
        <v/>
      </c>
      <c r="P9" s="4" t="str">
        <f aca="false">IFERROR(INDEX(cf!$e$2:$zz$500,MATCH("Ending Cash",cf!$c$2:$c$500,0),MATCH(P$1,cf!$e$1:$zz$1,0)),"")</f>
        <v/>
      </c>
      <c r="Q9" s="4" t="str">
        <f aca="false">IFERROR(INDEX(cf!$e$2:$zz$500,MATCH("Ending Cash",cf!$c$2:$c$500,0),MATCH(Q$1,cf!$e$1:$zz$1,0)),"")</f>
        <v/>
      </c>
      <c r="R9" s="4" t="str">
        <f aca="false">IFERROR(INDEX(cf!$e$2:$zz$500,MATCH("Ending Cash",cf!$c$2:$c$500,0),MATCH(R$1,cf!$e$1:$zz$1,0)),"")</f>
        <v/>
      </c>
      <c r="S9" s="4" t="str">
        <f aca="false">IFERROR(INDEX(cf!$e$2:$zz$500,MATCH("Ending Cash",cf!$c$2:$c$500,0),MATCH(S$1,cf!$e$1:$zz$1,0)),"")</f>
        <v/>
      </c>
    </row>
    <row r="10" customFormat="false" ht="15" hidden="false" customHeight="false" outlineLevel="0" collapsed="false">
      <c r="A10" s="2" t="s">
        <v>40</v>
      </c>
      <c r="B10" s="2" t="s">
        <v>43</v>
      </c>
      <c r="C10" s="2" t="s">
        <v>44</v>
      </c>
      <c r="D10" s="2" t="s">
        <v>22</v>
      </c>
      <c r="E10" s="2" t="s">
        <v>26</v>
      </c>
      <c r="F10" s="2"/>
      <c r="G10" s="3" t="b">
        <f aca="false">FALSE()</f>
        <v>0</v>
      </c>
      <c r="H10" s="4" t="str">
        <f aca="false">IFERROR(MAX(-INDEX(cf!$e$2:$zz$500,MATCH("Net Change in Cash",cf!$c$2:$c$500,0),MATCH(H$1,cf!$e$1:$zz$1,0)),0),"")</f>
        <v/>
      </c>
      <c r="I10" s="4" t="str">
        <f aca="false">IFERROR(MAX(-INDEX(cf!$e$2:$zz$500,MATCH("Net Change in Cash",cf!$c$2:$c$500,0),MATCH(I$1,cf!$e$1:$zz$1,0)),0),"")</f>
        <v/>
      </c>
      <c r="J10" s="4" t="str">
        <f aca="false">IFERROR(MAX(-INDEX(cf!$e$2:$zz$500,MATCH("Net Change in Cash",cf!$c$2:$c$500,0),MATCH(J$1,cf!$e$1:$zz$1,0)),0),"")</f>
        <v/>
      </c>
      <c r="K10" s="4" t="str">
        <f aca="false">IFERROR(MAX(-INDEX(cf!$e$2:$zz$500,MATCH("Net Change in Cash",cf!$c$2:$c$500,0),MATCH(K$1,cf!$e$1:$zz$1,0)),0),"")</f>
        <v/>
      </c>
      <c r="L10" s="4" t="str">
        <f aca="false">IFERROR(MAX(-INDEX(cf!$e$2:$zz$500,MATCH("Net Change in Cash",cf!$c$2:$c$500,0),MATCH(L$1,cf!$e$1:$zz$1,0)),0),"")</f>
        <v/>
      </c>
      <c r="M10" s="4" t="str">
        <f aca="false">IFERROR(MAX(-INDEX(cf!$e$2:$zz$500,MATCH("Net Change in Cash",cf!$c$2:$c$500,0),MATCH(M$1,cf!$e$1:$zz$1,0)),0),"")</f>
        <v/>
      </c>
      <c r="N10" s="4" t="str">
        <f aca="false">IFERROR(MAX(-INDEX(cf!$e$2:$zz$500,MATCH("Net Change in Cash",cf!$c$2:$c$500,0),MATCH(N$1,cf!$e$1:$zz$1,0)),0),"")</f>
        <v/>
      </c>
      <c r="O10" s="4" t="str">
        <f aca="false">IFERROR(MAX(-INDEX(cf!$e$2:$zz$500,MATCH("Net Change in Cash",cf!$c$2:$c$500,0),MATCH(O$1,cf!$e$1:$zz$1,0)),0),"")</f>
        <v/>
      </c>
      <c r="P10" s="4" t="str">
        <f aca="false">IFERROR(MAX(-INDEX(cf!$e$2:$zz$500,MATCH("Net Change in Cash",cf!$c$2:$c$500,0),MATCH(P$1,cf!$e$1:$zz$1,0)),0),"")</f>
        <v/>
      </c>
      <c r="Q10" s="4" t="str">
        <f aca="false">IFERROR(MAX(-INDEX(cf!$e$2:$zz$500,MATCH("Net Change in Cash",cf!$c$2:$c$500,0),MATCH(Q$1,cf!$e$1:$zz$1,0)),0),"")</f>
        <v/>
      </c>
      <c r="R10" s="4" t="str">
        <f aca="false">IFERROR(MAX(-INDEX(cf!$e$2:$zz$500,MATCH("Net Change in Cash",cf!$c$2:$c$500,0),MATCH(R$1,cf!$e$1:$zz$1,0)),0),"")</f>
        <v/>
      </c>
      <c r="S10" s="4" t="str">
        <f aca="false">IFERROR(MAX(-INDEX(cf!$e$2:$zz$500,MATCH("Net Change in Cash",cf!$c$2:$c$500,0),MATCH(S$1,cf!$e$1:$zz$1,0)),0),"")</f>
        <v/>
      </c>
    </row>
    <row r="11" customFormat="false" ht="15" hidden="false" customHeight="false" outlineLevel="0" collapsed="false">
      <c r="A11" s="2" t="s">
        <v>40</v>
      </c>
      <c r="B11" s="2" t="s">
        <v>45</v>
      </c>
      <c r="C11" s="2" t="s">
        <v>46</v>
      </c>
      <c r="D11" s="2" t="s">
        <v>47</v>
      </c>
      <c r="E11" s="2" t="s">
        <v>23</v>
      </c>
      <c r="F11" s="6" t="n">
        <v>6</v>
      </c>
      <c r="G11" s="3" t="b">
        <f aca="false">FALSE()</f>
        <v>0</v>
      </c>
      <c r="H11" s="8" t="str">
        <f aca="false">IFERROR(H9/H10,"")</f>
        <v/>
      </c>
      <c r="I11" s="8" t="str">
        <f aca="false">IFERROR(I9/I10,"")</f>
        <v/>
      </c>
      <c r="J11" s="8" t="str">
        <f aca="false">IFERROR(J9/AVERAGE(H10:J10),"")</f>
        <v/>
      </c>
      <c r="K11" s="8" t="str">
        <f aca="false">IFERROR(K9/AVERAGE(I10:K10),"")</f>
        <v/>
      </c>
      <c r="L11" s="8" t="str">
        <f aca="false">IFERROR(L9/AVERAGE(J10:L10),"")</f>
        <v/>
      </c>
      <c r="M11" s="8" t="str">
        <f aca="false">IFERROR(M9/AVERAGE(K10:M10),"")</f>
        <v/>
      </c>
      <c r="N11" s="8" t="str">
        <f aca="false">IFERROR(N9/AVERAGE(L10:N10),"")</f>
        <v/>
      </c>
      <c r="O11" s="8" t="str">
        <f aca="false">IFERROR(O9/AVERAGE(M10:O10),"")</f>
        <v/>
      </c>
      <c r="P11" s="8" t="str">
        <f aca="false">IFERROR(P9/AVERAGE(N10:P10),"")</f>
        <v/>
      </c>
      <c r="Q11" s="8" t="str">
        <f aca="false">IFERROR(Q9/AVERAGE(O10:Q10),"")</f>
        <v/>
      </c>
      <c r="R11" s="8" t="str">
        <f aca="false">IFERROR(R9/AVERAGE(P10:R10),"")</f>
        <v/>
      </c>
      <c r="S11" s="8" t="str">
        <f aca="false">IFERROR(S9/AVERAGE(Q10:S10),"")</f>
        <v/>
      </c>
    </row>
    <row r="12" customFormat="false" ht="15" hidden="false" customHeight="false" outlineLevel="0" collapsed="false">
      <c r="A12" s="2" t="s">
        <v>48</v>
      </c>
      <c r="B12" s="2" t="s">
        <v>49</v>
      </c>
      <c r="C12" s="2" t="s">
        <v>50</v>
      </c>
      <c r="D12" s="2" t="s">
        <v>22</v>
      </c>
      <c r="E12" s="2" t="s">
        <v>26</v>
      </c>
      <c r="F12" s="2"/>
      <c r="G12" s="3" t="b">
        <f aca="false">FALSE()</f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</row>
    <row r="13" customFormat="false" ht="15" hidden="false" customHeight="false" outlineLevel="0" collapsed="false">
      <c r="A13" s="2" t="s">
        <v>48</v>
      </c>
      <c r="B13" s="2" t="s">
        <v>51</v>
      </c>
      <c r="C13" s="2" t="s">
        <v>52</v>
      </c>
      <c r="D13" s="2" t="s">
        <v>47</v>
      </c>
      <c r="E13" s="2" t="s">
        <v>26</v>
      </c>
      <c r="F13" s="2"/>
      <c r="G13" s="3" t="b">
        <f aca="false">FALSE()</f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</row>
    <row r="14" customFormat="false" ht="15" hidden="false" customHeight="false" outlineLevel="0" collapsed="false">
      <c r="A14" s="2" t="s">
        <v>48</v>
      </c>
      <c r="B14" s="2" t="s">
        <v>53</v>
      </c>
      <c r="C14" s="2" t="s">
        <v>54</v>
      </c>
      <c r="D14" s="2" t="s">
        <v>22</v>
      </c>
      <c r="E14" s="2" t="s">
        <v>23</v>
      </c>
      <c r="F14" s="2"/>
      <c r="G14" s="3" t="b">
        <f aca="false">FALSE()</f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</row>
    <row r="15" customFormat="false" ht="15" hidden="false" customHeight="false" outlineLevel="0" collapsed="false">
      <c r="A15" s="2" t="s">
        <v>48</v>
      </c>
      <c r="B15" s="2" t="s">
        <v>55</v>
      </c>
      <c r="C15" s="2" t="s">
        <v>56</v>
      </c>
      <c r="D15" s="2" t="s">
        <v>34</v>
      </c>
      <c r="E15" s="2" t="s">
        <v>35</v>
      </c>
      <c r="F15" s="2"/>
      <c r="G15" s="3" t="b">
        <f aca="false">FALSE()</f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</row>
    <row r="16" customFormat="false" ht="15" hidden="false" customHeight="false" outlineLevel="0" collapsed="false">
      <c r="A16" s="2" t="s">
        <v>48</v>
      </c>
      <c r="B16" s="2" t="s">
        <v>57</v>
      </c>
      <c r="C16" s="2" t="s">
        <v>58</v>
      </c>
      <c r="D16" s="2" t="s">
        <v>22</v>
      </c>
      <c r="E16" s="2" t="s">
        <v>26</v>
      </c>
      <c r="F16" s="2"/>
      <c r="G16" s="3" t="b">
        <f aca="false">FALSE()</f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</row>
    <row r="17" customFormat="false" ht="15" hidden="false" customHeight="false" outlineLevel="0" collapsed="false">
      <c r="A17" s="2" t="s">
        <v>48</v>
      </c>
      <c r="B17" s="2" t="s">
        <v>59</v>
      </c>
      <c r="C17" s="2" t="s">
        <v>60</v>
      </c>
      <c r="D17" s="2" t="s">
        <v>22</v>
      </c>
      <c r="E17" s="2" t="s">
        <v>26</v>
      </c>
      <c r="F17" s="2"/>
      <c r="G17" s="3" t="b">
        <f aca="false">FALSE()</f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</row>
    <row r="18" customFormat="false" ht="15" hidden="false" customHeight="false" outlineLevel="0" collapsed="false">
      <c r="A18" s="2" t="s">
        <v>48</v>
      </c>
      <c r="B18" s="2" t="s">
        <v>61</v>
      </c>
      <c r="C18" s="2" t="s">
        <v>62</v>
      </c>
      <c r="D18" s="2" t="s">
        <v>22</v>
      </c>
      <c r="E18" s="2" t="s">
        <v>26</v>
      </c>
      <c r="F18" s="2"/>
      <c r="G18" s="3" t="b">
        <f aca="false">FALSE()</f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</row>
    <row r="19" customFormat="false" ht="15" hidden="false" customHeight="false" outlineLevel="0" collapsed="false">
      <c r="A19" s="2" t="s">
        <v>63</v>
      </c>
      <c r="B19" s="2" t="s">
        <v>64</v>
      </c>
      <c r="C19" s="2" t="s">
        <v>65</v>
      </c>
      <c r="D19" s="2" t="s">
        <v>22</v>
      </c>
      <c r="E19" s="2" t="s">
        <v>26</v>
      </c>
      <c r="F19" s="2"/>
      <c r="G19" s="3" t="b">
        <f aca="false">FALSE()</f>
        <v>0</v>
      </c>
      <c r="H19" s="4" t="str">
        <f aca="false">IFERROR(H12/H13,"")</f>
        <v/>
      </c>
      <c r="I19" s="4" t="str">
        <f aca="false">IFERROR(I12/I13,"")</f>
        <v/>
      </c>
      <c r="J19" s="4" t="str">
        <f aca="false">IFERROR(J12/J13,"")</f>
        <v/>
      </c>
      <c r="K19" s="4" t="str">
        <f aca="false">IFERROR(K12/K13,"")</f>
        <v/>
      </c>
      <c r="L19" s="4" t="str">
        <f aca="false">IFERROR(L12/L13,"")</f>
        <v/>
      </c>
      <c r="M19" s="4" t="str">
        <f aca="false">IFERROR(M12/M13,"")</f>
        <v/>
      </c>
      <c r="N19" s="4" t="str">
        <f aca="false">IFERROR(N12/N13,"")</f>
        <v/>
      </c>
      <c r="O19" s="4" t="str">
        <f aca="false">IFERROR(O12/O13,"")</f>
        <v/>
      </c>
      <c r="P19" s="4" t="str">
        <f aca="false">IFERROR(P12/P13,"")</f>
        <v/>
      </c>
      <c r="Q19" s="4" t="str">
        <f aca="false">IFERROR(Q12/Q13,"")</f>
        <v/>
      </c>
      <c r="R19" s="4" t="str">
        <f aca="false">IFERROR(R12/R13,"")</f>
        <v/>
      </c>
      <c r="S19" s="4" t="str">
        <f aca="false">IFERROR(S12/S13,"")</f>
        <v/>
      </c>
    </row>
    <row r="20" customFormat="false" ht="15" hidden="false" customHeight="false" outlineLevel="0" collapsed="false">
      <c r="A20" s="2" t="s">
        <v>63</v>
      </c>
      <c r="B20" s="2" t="s">
        <v>66</v>
      </c>
      <c r="C20" s="2" t="s">
        <v>67</v>
      </c>
      <c r="D20" s="2" t="s">
        <v>35</v>
      </c>
      <c r="E20" s="2" t="s">
        <v>35</v>
      </c>
      <c r="F20" s="6" t="n">
        <v>3</v>
      </c>
      <c r="G20" s="3" t="b">
        <f aca="false">FALSE()</f>
        <v>0</v>
      </c>
      <c r="H20" s="11" t="str">
        <f aca="false">IFERROR((H14*H6/H15)/H19,"")</f>
        <v/>
      </c>
      <c r="I20" s="11" t="str">
        <f aca="false">IFERROR((I14*I6/I15)/I19,"")</f>
        <v/>
      </c>
      <c r="J20" s="11" t="str">
        <f aca="false">IFERROR((J14*J6/J15)/J19,"")</f>
        <v/>
      </c>
      <c r="K20" s="11" t="str">
        <f aca="false">IFERROR((K14*K6/K15)/K19,"")</f>
        <v/>
      </c>
      <c r="L20" s="11" t="str">
        <f aca="false">IFERROR((L14*L6/L15)/L19,"")</f>
        <v/>
      </c>
      <c r="M20" s="11" t="str">
        <f aca="false">IFERROR((M14*M6/M15)/M19,"")</f>
        <v/>
      </c>
      <c r="N20" s="11" t="str">
        <f aca="false">IFERROR((N14*N6/N15)/N19,"")</f>
        <v/>
      </c>
      <c r="O20" s="11" t="str">
        <f aca="false">IFERROR((O14*O6/O15)/O19,"")</f>
        <v/>
      </c>
      <c r="P20" s="11" t="str">
        <f aca="false">IFERROR((P14*P6/P15)/P19,"")</f>
        <v/>
      </c>
      <c r="Q20" s="11" t="str">
        <f aca="false">IFERROR((Q14*Q6/Q15)/Q19,"")</f>
        <v/>
      </c>
      <c r="R20" s="11" t="str">
        <f aca="false">IFERROR((R14*R6/R15)/R19,"")</f>
        <v/>
      </c>
      <c r="S20" s="11" t="str">
        <f aca="false">IFERROR((S14*S6/S15)/S19,"")</f>
        <v/>
      </c>
    </row>
    <row r="21" customFormat="false" ht="15" hidden="false" customHeight="false" outlineLevel="0" collapsed="false">
      <c r="A21" s="2" t="s">
        <v>63</v>
      </c>
      <c r="B21" s="2" t="s">
        <v>68</v>
      </c>
      <c r="C21" s="2" t="s">
        <v>69</v>
      </c>
      <c r="D21" s="2" t="s">
        <v>34</v>
      </c>
      <c r="E21" s="2" t="s">
        <v>35</v>
      </c>
      <c r="F21" s="6" t="n">
        <v>1</v>
      </c>
      <c r="G21" s="3" t="b">
        <f aca="false">FALSE()</f>
        <v>0</v>
      </c>
      <c r="H21" s="7" t="str">
        <f aca="false">IFERROR((H2+H16-H17-H18)/H2,"")</f>
        <v/>
      </c>
      <c r="I21" s="7" t="str">
        <f aca="false">IFERROR((H2+I16-I17-I18)/H2,"")</f>
        <v/>
      </c>
      <c r="J21" s="7" t="str">
        <f aca="false">IFERROR((I2+J16-J17-J18)/I2,"")</f>
        <v/>
      </c>
      <c r="K21" s="7" t="str">
        <f aca="false">IFERROR((J2+K16-K17-K18)/J2,"")</f>
        <v/>
      </c>
      <c r="L21" s="7" t="str">
        <f aca="false">IFERROR((K2+L16-L17-L18)/K2,"")</f>
        <v/>
      </c>
      <c r="M21" s="7" t="str">
        <f aca="false">IFERROR((L2+M16-M17-M18)/L2,"")</f>
        <v/>
      </c>
      <c r="N21" s="7" t="str">
        <f aca="false">IFERROR((M2+N16-N17-N18)/M2,"")</f>
        <v/>
      </c>
      <c r="O21" s="7" t="str">
        <f aca="false">IFERROR((N2+O16-O17-O18)/N2,"")</f>
        <v/>
      </c>
      <c r="P21" s="7" t="str">
        <f aca="false">IFERROR((O2+P16-P17-P18)/O2,"")</f>
        <v/>
      </c>
      <c r="Q21" s="7" t="str">
        <f aca="false">IFERROR((P2+Q16-Q17-Q18)/P2,"")</f>
        <v/>
      </c>
      <c r="R21" s="7" t="str">
        <f aca="false">IFERROR((Q2+R16-R17-R18)/Q2,"")</f>
        <v/>
      </c>
      <c r="S21" s="7" t="str">
        <f aca="false">IFERROR((R2+S16-S17-S18)/R2,"")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26.85" hidden="false" customHeight="false" outlineLevel="0" collapsed="false">
      <c r="A1" s="12" t="s">
        <v>70</v>
      </c>
      <c r="B1" s="13"/>
    </row>
    <row r="2" customFormat="false" ht="15" hidden="false" customHeight="false" outlineLevel="0" collapsed="false">
      <c r="A2" s="13"/>
      <c r="B2" s="13"/>
    </row>
    <row r="3" customFormat="false" ht="23.85" hidden="false" customHeight="false" outlineLevel="0" collapsed="false">
      <c r="A3" s="13" t="s">
        <v>71</v>
      </c>
      <c r="B3" s="13"/>
    </row>
    <row r="4" customFormat="false" ht="23.85" hidden="false" customHeight="false" outlineLevel="0" collapsed="false">
      <c r="A4" s="13" t="s">
        <v>72</v>
      </c>
      <c r="B4" s="13"/>
    </row>
    <row r="5" customFormat="false" ht="35.05" hidden="false" customHeight="false" outlineLevel="0" collapsed="false">
      <c r="A5" s="13" t="s">
        <v>73</v>
      </c>
      <c r="B5" s="13"/>
    </row>
    <row r="6" customFormat="false" ht="23.85" hidden="false" customHeight="false" outlineLevel="0" collapsed="false">
      <c r="A6" s="13" t="s">
        <v>74</v>
      </c>
      <c r="B6" s="13"/>
    </row>
    <row r="7" customFormat="false" ht="15" hidden="false" customHeight="false" outlineLevel="0" collapsed="false">
      <c r="A7" s="13"/>
      <c r="B7" s="13"/>
    </row>
    <row r="8" customFormat="false" ht="15" hidden="false" customHeight="false" outlineLevel="0" collapsed="false">
      <c r="A8" s="12" t="s">
        <v>75</v>
      </c>
      <c r="B8" s="13"/>
    </row>
    <row r="9" customFormat="false" ht="15" hidden="false" customHeight="false" outlineLevel="0" collapsed="false">
      <c r="A9" s="13" t="s">
        <v>4</v>
      </c>
      <c r="B9" s="13" t="s">
        <v>76</v>
      </c>
    </row>
    <row r="10" customFormat="false" ht="15" hidden="false" customHeight="false" outlineLevel="0" collapsed="false">
      <c r="A10" s="13"/>
      <c r="B10" s="13" t="s">
        <v>77</v>
      </c>
    </row>
    <row r="11" customFormat="false" ht="23.85" hidden="false" customHeight="false" outlineLevel="0" collapsed="false">
      <c r="A11" s="13"/>
      <c r="B11" s="13" t="s">
        <v>78</v>
      </c>
    </row>
    <row r="12" customFormat="false" ht="15" hidden="false" customHeight="false" outlineLevel="0" collapsed="false">
      <c r="A12" s="13" t="s">
        <v>5</v>
      </c>
      <c r="B12" s="13" t="s">
        <v>79</v>
      </c>
    </row>
    <row r="13" customFormat="false" ht="15" hidden="false" customHeight="false" outlineLevel="0" collapsed="false">
      <c r="A13" s="13"/>
      <c r="B13" s="13"/>
    </row>
    <row r="14" customFormat="false" ht="15" hidden="false" customHeight="false" outlineLevel="0" collapsed="false">
      <c r="A14" s="12" t="s">
        <v>80</v>
      </c>
      <c r="B14" s="13"/>
    </row>
    <row r="15" customFormat="false" ht="15" hidden="false" customHeight="false" outlineLevel="0" collapsed="false">
      <c r="A15" s="13" t="s">
        <v>81</v>
      </c>
      <c r="B15" s="13" t="s">
        <v>82</v>
      </c>
    </row>
    <row r="16" customFormat="false" ht="15" hidden="false" customHeight="false" outlineLevel="0" collapsed="false">
      <c r="A16" s="13" t="s">
        <v>83</v>
      </c>
      <c r="B16" s="13" t="s">
        <v>84</v>
      </c>
    </row>
    <row r="17" customFormat="false" ht="15" hidden="false" customHeight="false" outlineLevel="0" collapsed="false">
      <c r="A17" s="13"/>
      <c r="B17" s="13"/>
    </row>
    <row r="18" customFormat="false" ht="15" hidden="false" customHeight="false" outlineLevel="0" collapsed="false">
      <c r="A18" s="12" t="s">
        <v>85</v>
      </c>
      <c r="B18" s="13"/>
    </row>
    <row r="19" customFormat="false" ht="23.85" hidden="false" customHeight="false" outlineLevel="0" collapsed="false">
      <c r="A19" s="13" t="s">
        <v>86</v>
      </c>
      <c r="B19" s="13"/>
    </row>
    <row r="20" customFormat="false" ht="35.05" hidden="false" customHeight="false" outlineLevel="0" collapsed="false">
      <c r="A20" s="13" t="s">
        <v>87</v>
      </c>
      <c r="B20" s="13"/>
    </row>
    <row r="21" customFormat="false" ht="35.05" hidden="false" customHeight="false" outlineLevel="0" collapsed="false">
      <c r="A21" s="13" t="s">
        <v>88</v>
      </c>
      <c r="B21" s="13"/>
    </row>
    <row r="22" customFormat="false" ht="15" hidden="false" customHeight="false" outlineLevel="0" collapsed="false">
      <c r="A22" s="13"/>
      <c r="B22" s="13"/>
    </row>
    <row r="23" customFormat="false" ht="26.85" hidden="false" customHeight="false" outlineLevel="0" collapsed="false">
      <c r="A23" s="12" t="s">
        <v>89</v>
      </c>
      <c r="B23" s="13"/>
    </row>
    <row r="24" customFormat="false" ht="35.05" hidden="false" customHeight="false" outlineLevel="0" collapsed="false">
      <c r="A24" s="13" t="s">
        <v>90</v>
      </c>
      <c r="B24" s="13"/>
    </row>
    <row r="25" customFormat="false" ht="35.05" hidden="false" customHeight="false" outlineLevel="0" collapsed="false">
      <c r="A25" s="13" t="s">
        <v>91</v>
      </c>
      <c r="B25" s="13"/>
    </row>
    <row r="26" customFormat="false" ht="35.05" hidden="false" customHeight="false" outlineLevel="0" collapsed="false">
      <c r="A26" s="13" t="s">
        <v>92</v>
      </c>
      <c r="B2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2026-08-20T15:18:28Z</dcterms:created>
  <dc:creator>openpyxl</dc:creator>
  <dc:description/>
  <dc:language>en-US</dc:language>
  <cp:lastModifiedBy/>
  <dcterms:modified xsi:type="dcterms:W3CDTF">2026-08-20T15:18:28Z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