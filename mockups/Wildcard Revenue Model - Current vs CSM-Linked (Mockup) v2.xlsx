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Current - Aggregate" sheetId="1" state="visible" r:id="rId1"/>
    <sheet xmlns:r="http://schemas.openxmlformats.org/officeDocument/2006/relationships" name="2. Current - Per Customer" sheetId="2" state="visible" r:id="rId2"/>
    <sheet xmlns:r="http://schemas.openxmlformats.org/officeDocument/2006/relationships" name="3. New - CSM-Linked" sheetId="3" state="visible" r:id="rId3"/>
    <sheet xmlns:r="http://schemas.openxmlformats.org/officeDocument/2006/relationships" name="Questions for Brenna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;[RED](#,##0)"/>
    <numFmt numFmtId="165" formatCode="yyyy-mm-dd"/>
  </numFmts>
  <fonts count="13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sz val="10"/>
    </font>
    <font>
      <sz val="10"/>
    </font>
    <font>
      <name val="Calibri"/>
      <b val="1"/>
      <color rgb="00FFFFFF"/>
      <sz val="10"/>
    </font>
    <font>
      <i val="1"/>
      <sz val="9"/>
    </font>
    <font>
      <b val="1"/>
      <sz val="9"/>
    </font>
    <font>
      <b val="1"/>
    </font>
    <font>
      <i val="1"/>
      <color rgb="006B7280"/>
      <sz val="8"/>
    </font>
    <font>
      <name val="Calibri"/>
      <i val="1"/>
      <color rgb="006B7280"/>
      <sz val="9"/>
    </font>
    <font>
      <color rgb="006B7280"/>
      <sz val="8"/>
    </font>
    <font>
      <color rgb="006B7280"/>
      <sz val="9"/>
    </font>
    <font>
      <sz val="9"/>
    </font>
  </fonts>
  <fills count="6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>
        <fgColor rgb="00FEF9C3"/>
      </patternFill>
    </fill>
    <fill>
      <patternFill patternType="solid">
        <fgColor rgb="00E5E7EB"/>
      </patternFill>
    </fill>
    <fill>
      <patternFill patternType="solid">
        <fgColor rgb="00F3F4F6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pivotButton="0" quotePrefix="0" xfId="0"/>
    <xf numFmtId="0" fontId="3" fillId="0" borderId="0" pivotButton="0" quotePrefix="0" xfId="0"/>
    <xf numFmtId="164" fontId="0" fillId="3" borderId="1" pivotButton="0" quotePrefix="0" xfId="0"/>
    <xf numFmtId="9" fontId="0" fillId="3" borderId="1" pivotButton="0" quotePrefix="0" xfId="0"/>
    <xf numFmtId="1" fontId="0" fillId="3" borderId="1" pivotButton="0" quotePrefix="0" xfId="0"/>
    <xf numFmtId="0" fontId="4" fillId="0" borderId="0" pivotButton="0" quotePrefix="0" xfId="0"/>
    <xf numFmtId="17" fontId="4" fillId="2" borderId="0" applyAlignment="1" pivotButton="0" quotePrefix="0" xfId="0">
      <alignment horizontal="center"/>
    </xf>
    <xf numFmtId="3" fontId="0" fillId="3" borderId="1" pivotButton="0" quotePrefix="0" xfId="0"/>
    <xf numFmtId="3" fontId="0" fillId="0" borderId="1" pivotButton="0" quotePrefix="0" xfId="0"/>
    <xf numFmtId="164" fontId="0" fillId="0" borderId="0" pivotButton="0" quotePrefix="0" xfId="0"/>
    <xf numFmtId="164" fontId="2" fillId="4" borderId="0" pivotButton="0" quotePrefix="0" xfId="0"/>
    <xf numFmtId="0" fontId="4" fillId="2" borderId="0" pivotButton="0" quotePrefix="0" xfId="0"/>
    <xf numFmtId="0" fontId="5" fillId="0" borderId="0" pivotButton="0" quotePrefix="0" xfId="0"/>
    <xf numFmtId="3" fontId="0" fillId="3" borderId="0" pivotButton="0" quotePrefix="0" xfId="0"/>
    <xf numFmtId="0" fontId="6" fillId="0" borderId="0" pivotButton="0" quotePrefix="0" xfId="0"/>
    <xf numFmtId="164" fontId="7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applyAlignment="1" pivotButton="0" quotePrefix="0" xfId="0">
      <alignment horizontal="center"/>
    </xf>
    <xf numFmtId="0" fontId="2" fillId="5" borderId="0" pivotButton="0" quotePrefix="0" xfId="0"/>
    <xf numFmtId="0" fontId="0" fillId="3" borderId="1" pivotButton="0" quotePrefix="0" xfId="0"/>
    <xf numFmtId="17" fontId="0" fillId="3" borderId="1" pivotButton="0" quotePrefix="0" xfId="0"/>
    <xf numFmtId="0" fontId="11" fillId="5" borderId="0" pivotButton="0" quotePrefix="0" xfId="0"/>
    <xf numFmtId="0" fontId="12" fillId="0" borderId="0" pivotButton="0" quotePrefix="0" xfId="0"/>
    <xf numFmtId="0" fontId="7" fillId="0" borderId="0" pivotButton="0" quotePrefix="0" xfId="0"/>
    <xf numFmtId="0" fontId="0" fillId="0" borderId="0" applyAlignment="1" pivotButton="0" quotePrefix="0" xfId="0">
      <alignment vertical="top" wrapText="1"/>
    </xf>
    <xf numFmtId="0" fontId="9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0"/>
  <sheetViews>
    <sheetView showGridLines="0" workbookViewId="0">
      <pane xSplit="3" ySplit="11" topLeftCell="D1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12" customWidth="1" min="2" max="2"/>
    <col width="3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</cols>
  <sheetData>
    <row r="1" ht="26" customHeight="1">
      <c r="A1" s="1" t="inlineStr">
        <is>
          <t>Wildcard — Revenue Model: Aggregate</t>
        </is>
      </c>
    </row>
    <row r="3">
      <c r="A3" s="2" t="inlineStr">
        <is>
          <t>Assumptions</t>
        </is>
      </c>
    </row>
    <row r="4">
      <c r="A4" s="3" t="inlineStr">
        <is>
          <t>Upfront Rate ($/campaign)</t>
        </is>
      </c>
      <c r="B4" s="4" t="n">
        <v>1500</v>
      </c>
    </row>
    <row r="5">
      <c r="A5" s="3" t="inlineStr">
        <is>
          <t>Per-Meeting Rate ($/meeting)</t>
        </is>
      </c>
      <c r="B5" s="4" t="n">
        <v>4000</v>
      </c>
    </row>
    <row r="6">
      <c r="A6" s="3" t="inlineStr">
        <is>
          <t>Meeting Conversion %</t>
        </is>
      </c>
      <c r="B6" s="5" t="n">
        <v>0.1</v>
      </c>
    </row>
    <row r="7">
      <c r="A7" s="3" t="inlineStr">
        <is>
          <t>Meeting Lag (months)</t>
        </is>
      </c>
      <c r="B7" s="6" t="n">
        <v>2</v>
      </c>
    </row>
    <row r="8">
      <c r="A8" s="3" t="inlineStr">
        <is>
          <t>Uncollectible %</t>
        </is>
      </c>
      <c r="B8" s="5" t="n">
        <v>0.15</v>
      </c>
    </row>
    <row r="9">
      <c r="A9" s="3" t="inlineStr">
        <is>
          <t>Campaign Cost Rate ($/campaign, COGS)</t>
        </is>
      </c>
      <c r="B9" s="4" t="n">
        <v>250</v>
      </c>
    </row>
    <row r="11" ht="18" customHeight="1">
      <c r="C11" s="7" t="inlineStr">
        <is>
          <t>Month</t>
        </is>
      </c>
      <c r="D11" s="8" t="n">
        <v>46023</v>
      </c>
      <c r="E11" s="8" t="n">
        <v>46054</v>
      </c>
      <c r="F11" s="8" t="n">
        <v>46082</v>
      </c>
      <c r="G11" s="8" t="n">
        <v>46113</v>
      </c>
      <c r="H11" s="8" t="n">
        <v>46143</v>
      </c>
      <c r="I11" s="8" t="n">
        <v>46174</v>
      </c>
      <c r="J11" s="8" t="n">
        <v>46204</v>
      </c>
      <c r="K11" s="8" t="n">
        <v>46235</v>
      </c>
      <c r="L11" s="8" t="n">
        <v>46266</v>
      </c>
      <c r="M11" s="8" t="n">
        <v>46296</v>
      </c>
      <c r="N11" s="8" t="n">
        <v>46327</v>
      </c>
      <c r="O11" s="8" t="n">
        <v>46357</v>
      </c>
      <c r="P11" s="8" t="n">
        <v>46388</v>
      </c>
      <c r="Q11" s="8" t="n">
        <v>46419</v>
      </c>
      <c r="R11" s="8" t="n">
        <v>46447</v>
      </c>
      <c r="S11" s="8" t="n">
        <v>46478</v>
      </c>
      <c r="T11" s="8" t="n">
        <v>46508</v>
      </c>
      <c r="U11" s="8" t="n">
        <v>46539</v>
      </c>
      <c r="V11" s="8" t="n">
        <v>46569</v>
      </c>
      <c r="W11" s="8" t="n">
        <v>46600</v>
      </c>
      <c r="X11" s="8" t="n">
        <v>46631</v>
      </c>
      <c r="Y11" s="8" t="n">
        <v>46661</v>
      </c>
      <c r="Z11" s="8" t="n">
        <v>46692</v>
      </c>
      <c r="AA11" s="8" t="n">
        <v>46722</v>
      </c>
    </row>
    <row r="12">
      <c r="A12" s="2" t="inlineStr">
        <is>
          <t># of Campaigns (input)</t>
        </is>
      </c>
      <c r="D12" s="9" t="n">
        <v>80</v>
      </c>
      <c r="E12" s="9" t="n">
        <v>95</v>
      </c>
      <c r="F12" s="9" t="n">
        <v>113</v>
      </c>
      <c r="G12" s="9" t="n">
        <v>135</v>
      </c>
      <c r="H12" s="9" t="n">
        <v>191</v>
      </c>
      <c r="I12" s="9" t="n">
        <v>225</v>
      </c>
      <c r="J12" s="9" t="n">
        <v>250</v>
      </c>
      <c r="K12" s="9" t="n">
        <v>300</v>
      </c>
      <c r="L12" s="9" t="n">
        <v>350</v>
      </c>
      <c r="M12" s="9" t="n">
        <v>400</v>
      </c>
      <c r="N12" s="9" t="n">
        <v>430</v>
      </c>
      <c r="O12" s="9" t="n">
        <v>460</v>
      </c>
      <c r="P12" s="9" t="n">
        <v>480</v>
      </c>
      <c r="Q12" s="9" t="n">
        <v>500</v>
      </c>
      <c r="R12" s="9" t="n">
        <v>520</v>
      </c>
      <c r="S12" s="9" t="n">
        <v>540</v>
      </c>
      <c r="T12" s="9" t="n">
        <v>560</v>
      </c>
      <c r="U12" s="9" t="n">
        <v>580</v>
      </c>
      <c r="V12" s="9" t="n">
        <v>600</v>
      </c>
      <c r="W12" s="9" t="n">
        <v>620</v>
      </c>
      <c r="X12" s="9" t="n">
        <v>640</v>
      </c>
      <c r="Y12" s="9" t="n">
        <v>660</v>
      </c>
      <c r="Z12" s="9" t="n">
        <v>680</v>
      </c>
      <c r="AA12" s="9" t="n">
        <v>700</v>
      </c>
    </row>
    <row r="13">
      <c r="A13" s="2" t="inlineStr">
        <is>
          <t># of Meetings (auto after month 2; conv% × campaigns, lagged)</t>
        </is>
      </c>
      <c r="D13" s="9" t="n">
        <v>8</v>
      </c>
      <c r="E13" s="9" t="n">
        <v>8</v>
      </c>
      <c r="F13" s="10">
        <f>ROUND($B$6*D12,0)</f>
        <v/>
      </c>
      <c r="G13" s="10">
        <f>ROUND($B$6*E12,0)</f>
        <v/>
      </c>
      <c r="H13" s="10">
        <f>ROUND($B$6*F12,0)</f>
        <v/>
      </c>
      <c r="I13" s="10">
        <f>ROUND($B$6*G12,0)</f>
        <v/>
      </c>
      <c r="J13" s="10">
        <f>ROUND($B$6*H12,0)</f>
        <v/>
      </c>
      <c r="K13" s="10">
        <f>ROUND($B$6*I12,0)</f>
        <v/>
      </c>
      <c r="L13" s="10">
        <f>ROUND($B$6*J12,0)</f>
        <v/>
      </c>
      <c r="M13" s="10">
        <f>ROUND($B$6*K12,0)</f>
        <v/>
      </c>
      <c r="N13" s="10">
        <f>ROUND($B$6*L12,0)</f>
        <v/>
      </c>
      <c r="O13" s="10">
        <f>ROUND($B$6*M12,0)</f>
        <v/>
      </c>
      <c r="P13" s="10">
        <f>ROUND($B$6*N12,0)</f>
        <v/>
      </c>
      <c r="Q13" s="10">
        <f>ROUND($B$6*O12,0)</f>
        <v/>
      </c>
      <c r="R13" s="10">
        <f>ROUND($B$6*P12,0)</f>
        <v/>
      </c>
      <c r="S13" s="10">
        <f>ROUND($B$6*Q12,0)</f>
        <v/>
      </c>
      <c r="T13" s="10">
        <f>ROUND($B$6*R12,0)</f>
        <v/>
      </c>
      <c r="U13" s="10">
        <f>ROUND($B$6*S12,0)</f>
        <v/>
      </c>
      <c r="V13" s="10">
        <f>ROUND($B$6*T12,0)</f>
        <v/>
      </c>
      <c r="W13" s="10">
        <f>ROUND($B$6*U12,0)</f>
        <v/>
      </c>
      <c r="X13" s="10">
        <f>ROUND($B$6*V12,0)</f>
        <v/>
      </c>
      <c r="Y13" s="10">
        <f>ROUND($B$6*W12,0)</f>
        <v/>
      </c>
      <c r="Z13" s="10">
        <f>ROUND($B$6*X12,0)</f>
        <v/>
      </c>
      <c r="AA13" s="10">
        <f>ROUND($B$6*Y12,0)</f>
        <v/>
      </c>
    </row>
    <row r="15">
      <c r="A15" s="3" t="inlineStr">
        <is>
          <t>Upfront (Subscription) Revenue</t>
        </is>
      </c>
      <c r="D15" s="11">
        <f>D12*$B$4</f>
        <v/>
      </c>
      <c r="E15" s="11">
        <f>E12*$B$4</f>
        <v/>
      </c>
      <c r="F15" s="11">
        <f>F12*$B$4</f>
        <v/>
      </c>
      <c r="G15" s="11">
        <f>G12*$B$4</f>
        <v/>
      </c>
      <c r="H15" s="11">
        <f>H12*$B$4</f>
        <v/>
      </c>
      <c r="I15" s="11">
        <f>I12*$B$4</f>
        <v/>
      </c>
      <c r="J15" s="11">
        <f>J12*$B$4</f>
        <v/>
      </c>
      <c r="K15" s="11">
        <f>K12*$B$4</f>
        <v/>
      </c>
      <c r="L15" s="11">
        <f>L12*$B$4</f>
        <v/>
      </c>
      <c r="M15" s="11">
        <f>M12*$B$4</f>
        <v/>
      </c>
      <c r="N15" s="11">
        <f>N12*$B$4</f>
        <v/>
      </c>
      <c r="O15" s="11">
        <f>O12*$B$4</f>
        <v/>
      </c>
      <c r="P15" s="11">
        <f>P12*$B$4</f>
        <v/>
      </c>
      <c r="Q15" s="11">
        <f>Q12*$B$4</f>
        <v/>
      </c>
      <c r="R15" s="11">
        <f>R12*$B$4</f>
        <v/>
      </c>
      <c r="S15" s="11">
        <f>S12*$B$4</f>
        <v/>
      </c>
      <c r="T15" s="11">
        <f>T12*$B$4</f>
        <v/>
      </c>
      <c r="U15" s="11">
        <f>U12*$B$4</f>
        <v/>
      </c>
      <c r="V15" s="11">
        <f>V12*$B$4</f>
        <v/>
      </c>
      <c r="W15" s="11">
        <f>W12*$B$4</f>
        <v/>
      </c>
      <c r="X15" s="11">
        <f>X12*$B$4</f>
        <v/>
      </c>
      <c r="Y15" s="11">
        <f>Y12*$B$4</f>
        <v/>
      </c>
      <c r="Z15" s="11">
        <f>Z12*$B$4</f>
        <v/>
      </c>
      <c r="AA15" s="11">
        <f>AA12*$B$4</f>
        <v/>
      </c>
    </row>
    <row r="16">
      <c r="A16" s="3" t="inlineStr">
        <is>
          <t>Meeting (Transaction) Revenue</t>
        </is>
      </c>
      <c r="D16" s="11">
        <f>D13*$B$5</f>
        <v/>
      </c>
      <c r="E16" s="11">
        <f>E13*$B$5</f>
        <v/>
      </c>
      <c r="F16" s="11">
        <f>F13*$B$5</f>
        <v/>
      </c>
      <c r="G16" s="11">
        <f>G13*$B$5</f>
        <v/>
      </c>
      <c r="H16" s="11">
        <f>H13*$B$5</f>
        <v/>
      </c>
      <c r="I16" s="11">
        <f>I13*$B$5</f>
        <v/>
      </c>
      <c r="J16" s="11">
        <f>J13*$B$5</f>
        <v/>
      </c>
      <c r="K16" s="11">
        <f>K13*$B$5</f>
        <v/>
      </c>
      <c r="L16" s="11">
        <f>L13*$B$5</f>
        <v/>
      </c>
      <c r="M16" s="11">
        <f>M13*$B$5</f>
        <v/>
      </c>
      <c r="N16" s="11">
        <f>N13*$B$5</f>
        <v/>
      </c>
      <c r="O16" s="11">
        <f>O13*$B$5</f>
        <v/>
      </c>
      <c r="P16" s="11">
        <f>P13*$B$5</f>
        <v/>
      </c>
      <c r="Q16" s="11">
        <f>Q13*$B$5</f>
        <v/>
      </c>
      <c r="R16" s="11">
        <f>R13*$B$5</f>
        <v/>
      </c>
      <c r="S16" s="11">
        <f>S13*$B$5</f>
        <v/>
      </c>
      <c r="T16" s="11">
        <f>T13*$B$5</f>
        <v/>
      </c>
      <c r="U16" s="11">
        <f>U13*$B$5</f>
        <v/>
      </c>
      <c r="V16" s="11">
        <f>V13*$B$5</f>
        <v/>
      </c>
      <c r="W16" s="11">
        <f>W13*$B$5</f>
        <v/>
      </c>
      <c r="X16" s="11">
        <f>X13*$B$5</f>
        <v/>
      </c>
      <c r="Y16" s="11">
        <f>Y13*$B$5</f>
        <v/>
      </c>
      <c r="Z16" s="11">
        <f>Z13*$B$5</f>
        <v/>
      </c>
      <c r="AA16" s="11">
        <f>AA13*$B$5</f>
        <v/>
      </c>
    </row>
    <row r="17">
      <c r="A17" s="3" t="inlineStr">
        <is>
          <t>Gross Collected Revenue</t>
        </is>
      </c>
      <c r="D17" s="11">
        <f>D15+D16</f>
        <v/>
      </c>
      <c r="E17" s="11">
        <f>E15+E16</f>
        <v/>
      </c>
      <c r="F17" s="11">
        <f>F15+F16</f>
        <v/>
      </c>
      <c r="G17" s="11">
        <f>G15+G16</f>
        <v/>
      </c>
      <c r="H17" s="11">
        <f>H15+H16</f>
        <v/>
      </c>
      <c r="I17" s="11">
        <f>I15+I16</f>
        <v/>
      </c>
      <c r="J17" s="11">
        <f>J15+J16</f>
        <v/>
      </c>
      <c r="K17" s="11">
        <f>K15+K16</f>
        <v/>
      </c>
      <c r="L17" s="11">
        <f>L15+L16</f>
        <v/>
      </c>
      <c r="M17" s="11">
        <f>M15+M16</f>
        <v/>
      </c>
      <c r="N17" s="11">
        <f>N15+N16</f>
        <v/>
      </c>
      <c r="O17" s="11">
        <f>O15+O16</f>
        <v/>
      </c>
      <c r="P17" s="11">
        <f>P15+P16</f>
        <v/>
      </c>
      <c r="Q17" s="11">
        <f>Q15+Q16</f>
        <v/>
      </c>
      <c r="R17" s="11">
        <f>R15+R16</f>
        <v/>
      </c>
      <c r="S17" s="11">
        <f>S15+S16</f>
        <v/>
      </c>
      <c r="T17" s="11">
        <f>T15+T16</f>
        <v/>
      </c>
      <c r="U17" s="11">
        <f>U15+U16</f>
        <v/>
      </c>
      <c r="V17" s="11">
        <f>V15+V16</f>
        <v/>
      </c>
      <c r="W17" s="11">
        <f>W15+W16</f>
        <v/>
      </c>
      <c r="X17" s="11">
        <f>X15+X16</f>
        <v/>
      </c>
      <c r="Y17" s="11">
        <f>Y15+Y16</f>
        <v/>
      </c>
      <c r="Z17" s="11">
        <f>Z15+Z16</f>
        <v/>
      </c>
      <c r="AA17" s="11">
        <f>AA15+AA16</f>
        <v/>
      </c>
    </row>
    <row r="18">
      <c r="A18" s="2" t="inlineStr">
        <is>
          <t>Net Collected Revenue — P&amp;L Accrual</t>
        </is>
      </c>
      <c r="D18" s="12">
        <f>D17*(1-$B$8)</f>
        <v/>
      </c>
      <c r="E18" s="12">
        <f>E17*(1-$B$8)</f>
        <v/>
      </c>
      <c r="F18" s="12">
        <f>F17*(1-$B$8)</f>
        <v/>
      </c>
      <c r="G18" s="12">
        <f>G17*(1-$B$8)</f>
        <v/>
      </c>
      <c r="H18" s="12">
        <f>H17*(1-$B$8)</f>
        <v/>
      </c>
      <c r="I18" s="12">
        <f>I17*(1-$B$8)</f>
        <v/>
      </c>
      <c r="J18" s="12">
        <f>J17*(1-$B$8)</f>
        <v/>
      </c>
      <c r="K18" s="12">
        <f>K17*(1-$B$8)</f>
        <v/>
      </c>
      <c r="L18" s="12">
        <f>L17*(1-$B$8)</f>
        <v/>
      </c>
      <c r="M18" s="12">
        <f>M17*(1-$B$8)</f>
        <v/>
      </c>
      <c r="N18" s="12">
        <f>N17*(1-$B$8)</f>
        <v/>
      </c>
      <c r="O18" s="12">
        <f>O17*(1-$B$8)</f>
        <v/>
      </c>
      <c r="P18" s="12">
        <f>P17*(1-$B$8)</f>
        <v/>
      </c>
      <c r="Q18" s="12">
        <f>Q17*(1-$B$8)</f>
        <v/>
      </c>
      <c r="R18" s="12">
        <f>R17*(1-$B$8)</f>
        <v/>
      </c>
      <c r="S18" s="12">
        <f>S17*(1-$B$8)</f>
        <v/>
      </c>
      <c r="T18" s="12">
        <f>T17*(1-$B$8)</f>
        <v/>
      </c>
      <c r="U18" s="12">
        <f>U17*(1-$B$8)</f>
        <v/>
      </c>
      <c r="V18" s="12">
        <f>V17*(1-$B$8)</f>
        <v/>
      </c>
      <c r="W18" s="12">
        <f>W17*(1-$B$8)</f>
        <v/>
      </c>
      <c r="X18" s="12">
        <f>X17*(1-$B$8)</f>
        <v/>
      </c>
      <c r="Y18" s="12">
        <f>Y17*(1-$B$8)</f>
        <v/>
      </c>
      <c r="Z18" s="12">
        <f>Z17*(1-$B$8)</f>
        <v/>
      </c>
      <c r="AA18" s="12">
        <f>AA17*(1-$B$8)</f>
        <v/>
      </c>
    </row>
    <row r="20">
      <c r="A20" s="3" t="inlineStr">
        <is>
          <t>Cost of Campaigns (COGS)</t>
        </is>
      </c>
      <c r="D20" s="11">
        <f>D12*$B$9</f>
        <v/>
      </c>
      <c r="E20" s="11">
        <f>E12*$B$9</f>
        <v/>
      </c>
      <c r="F20" s="11">
        <f>F12*$B$9</f>
        <v/>
      </c>
      <c r="G20" s="11">
        <f>G12*$B$9</f>
        <v/>
      </c>
      <c r="H20" s="11">
        <f>H12*$B$9</f>
        <v/>
      </c>
      <c r="I20" s="11">
        <f>I12*$B$9</f>
        <v/>
      </c>
      <c r="J20" s="11">
        <f>J12*$B$9</f>
        <v/>
      </c>
      <c r="K20" s="11">
        <f>K12*$B$9</f>
        <v/>
      </c>
      <c r="L20" s="11">
        <f>L12*$B$9</f>
        <v/>
      </c>
      <c r="M20" s="11">
        <f>M12*$B$9</f>
        <v/>
      </c>
      <c r="N20" s="11">
        <f>N12*$B$9</f>
        <v/>
      </c>
      <c r="O20" s="11">
        <f>O12*$B$9</f>
        <v/>
      </c>
      <c r="P20" s="11">
        <f>P12*$B$9</f>
        <v/>
      </c>
      <c r="Q20" s="11">
        <f>Q12*$B$9</f>
        <v/>
      </c>
      <c r="R20" s="11">
        <f>R12*$B$9</f>
        <v/>
      </c>
      <c r="S20" s="11">
        <f>S12*$B$9</f>
        <v/>
      </c>
      <c r="T20" s="11">
        <f>T12*$B$9</f>
        <v/>
      </c>
      <c r="U20" s="11">
        <f>U12*$B$9</f>
        <v/>
      </c>
      <c r="V20" s="11">
        <f>V12*$B$9</f>
        <v/>
      </c>
      <c r="W20" s="11">
        <f>W12*$B$9</f>
        <v/>
      </c>
      <c r="X20" s="11">
        <f>X12*$B$9</f>
        <v/>
      </c>
      <c r="Y20" s="11">
        <f>Y12*$B$9</f>
        <v/>
      </c>
      <c r="Z20" s="11">
        <f>Z12*$B$9</f>
        <v/>
      </c>
      <c r="AA20" s="11">
        <f>AA12*$B$9</f>
        <v/>
      </c>
    </row>
  </sheetData>
  <mergeCells count="1">
    <mergeCell ref="A1:AA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29"/>
  <sheetViews>
    <sheetView showGridLines="0"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</cols>
  <sheetData>
    <row r="1" ht="26" customHeight="1">
      <c r="A1" s="1" t="inlineStr">
        <is>
          <t>Wildcard — Revenue Model: Per-Customer</t>
        </is>
      </c>
    </row>
    <row r="3" ht="18" customHeight="1">
      <c r="A3" s="13" t="inlineStr">
        <is>
          <t>Customer</t>
        </is>
      </c>
      <c r="B3" s="13" t="inlineStr">
        <is>
          <t>Campaign $</t>
        </is>
      </c>
      <c r="C3" s="13" t="inlineStr">
        <is>
          <t>Meeting $</t>
        </is>
      </c>
      <c r="D3" s="8" t="n">
        <v>46023</v>
      </c>
      <c r="E3" s="8" t="n">
        <v>46054</v>
      </c>
      <c r="F3" s="8" t="n">
        <v>46082</v>
      </c>
      <c r="G3" s="8" t="n">
        <v>46113</v>
      </c>
      <c r="H3" s="8" t="n">
        <v>46143</v>
      </c>
      <c r="I3" s="8" t="n">
        <v>46174</v>
      </c>
      <c r="J3" s="8" t="n">
        <v>46204</v>
      </c>
      <c r="K3" s="8" t="n">
        <v>46235</v>
      </c>
      <c r="L3" s="8" t="n">
        <v>46266</v>
      </c>
      <c r="M3" s="8" t="n">
        <v>46296</v>
      </c>
      <c r="N3" s="8" t="n">
        <v>46327</v>
      </c>
      <c r="O3" s="8" t="n">
        <v>46357</v>
      </c>
      <c r="P3" s="8" t="n">
        <v>46388</v>
      </c>
      <c r="Q3" s="8" t="n">
        <v>46419</v>
      </c>
      <c r="R3" s="8" t="n">
        <v>46447</v>
      </c>
      <c r="S3" s="8" t="n">
        <v>46478</v>
      </c>
      <c r="T3" s="8" t="n">
        <v>46508</v>
      </c>
      <c r="U3" s="8" t="n">
        <v>46539</v>
      </c>
      <c r="V3" s="8" t="n">
        <v>46569</v>
      </c>
      <c r="W3" s="8" t="n">
        <v>46600</v>
      </c>
      <c r="X3" s="8" t="n">
        <v>46631</v>
      </c>
      <c r="Y3" s="8" t="n">
        <v>46661</v>
      </c>
      <c r="Z3" s="8" t="n">
        <v>46692</v>
      </c>
      <c r="AA3" s="8" t="n">
        <v>46722</v>
      </c>
    </row>
    <row r="4">
      <c r="A4" s="2" t="inlineStr">
        <is>
          <t>11 Labs</t>
        </is>
      </c>
      <c r="B4" s="4" t="n">
        <v>1500</v>
      </c>
      <c r="C4" s="4" t="n">
        <v>4000</v>
      </c>
    </row>
    <row r="5">
      <c r="A5" s="14" t="inlineStr">
        <is>
          <t xml:space="preserve">  # of Campaigns</t>
        </is>
      </c>
      <c r="D5" s="15" t="n">
        <v>10</v>
      </c>
      <c r="E5" s="15" t="n">
        <v>11</v>
      </c>
      <c r="F5" s="15" t="n">
        <v>11</v>
      </c>
      <c r="G5" s="15" t="n">
        <v>12</v>
      </c>
      <c r="H5" s="15" t="n">
        <v>12</v>
      </c>
      <c r="I5" s="15" t="n">
        <v>13</v>
      </c>
      <c r="J5" s="15" t="n">
        <v>14</v>
      </c>
      <c r="K5" s="15" t="n">
        <v>14</v>
      </c>
      <c r="L5" s="15" t="n">
        <v>15</v>
      </c>
      <c r="M5" s="15" t="n">
        <v>15</v>
      </c>
      <c r="N5" s="15" t="n">
        <v>16</v>
      </c>
      <c r="O5" s="15" t="n">
        <v>17</v>
      </c>
      <c r="P5" s="15" t="n">
        <v>17</v>
      </c>
      <c r="Q5" s="15" t="n">
        <v>18</v>
      </c>
      <c r="R5" s="15" t="n">
        <v>19</v>
      </c>
      <c r="S5" s="15" t="n">
        <v>19</v>
      </c>
      <c r="T5" s="15" t="n">
        <v>20</v>
      </c>
      <c r="U5" s="15" t="n">
        <v>20</v>
      </c>
      <c r="V5" s="15" t="n">
        <v>21</v>
      </c>
      <c r="W5" s="15" t="n">
        <v>22</v>
      </c>
      <c r="X5" s="15" t="n">
        <v>22</v>
      </c>
      <c r="Y5" s="15" t="n">
        <v>23</v>
      </c>
      <c r="Z5" s="15" t="n">
        <v>23</v>
      </c>
      <c r="AA5" s="15" t="n">
        <v>24</v>
      </c>
    </row>
    <row r="6">
      <c r="A6" s="14" t="inlineStr">
        <is>
          <t xml:space="preserve">  # of Meetings</t>
        </is>
      </c>
      <c r="D6" s="15" t="n">
        <v>1</v>
      </c>
      <c r="E6" s="15" t="n">
        <v>1</v>
      </c>
      <c r="F6" s="15" t="n">
        <v>1</v>
      </c>
      <c r="G6" s="15" t="n">
        <v>1</v>
      </c>
      <c r="H6" s="15" t="n">
        <v>1</v>
      </c>
      <c r="I6" s="15" t="n">
        <v>1</v>
      </c>
      <c r="J6" s="15" t="n">
        <v>2</v>
      </c>
      <c r="K6" s="15" t="n">
        <v>2</v>
      </c>
      <c r="L6" s="15" t="n">
        <v>2</v>
      </c>
      <c r="M6" s="15" t="n">
        <v>2</v>
      </c>
      <c r="N6" s="15" t="n">
        <v>2</v>
      </c>
      <c r="O6" s="15" t="n">
        <v>2</v>
      </c>
      <c r="P6" s="15" t="n">
        <v>2</v>
      </c>
      <c r="Q6" s="15" t="n">
        <v>2</v>
      </c>
      <c r="R6" s="15" t="n">
        <v>2</v>
      </c>
      <c r="S6" s="15" t="n">
        <v>2</v>
      </c>
      <c r="T6" s="15" t="n">
        <v>2</v>
      </c>
      <c r="U6" s="15" t="n">
        <v>2</v>
      </c>
      <c r="V6" s="15" t="n">
        <v>3</v>
      </c>
      <c r="W6" s="15" t="n">
        <v>3</v>
      </c>
      <c r="X6" s="15" t="n">
        <v>3</v>
      </c>
      <c r="Y6" s="15" t="n">
        <v>3</v>
      </c>
      <c r="Z6" s="15" t="n">
        <v>3</v>
      </c>
      <c r="AA6" s="15" t="n">
        <v>3</v>
      </c>
    </row>
    <row r="7">
      <c r="A7" s="16" t="inlineStr">
        <is>
          <t xml:space="preserve">  Cash In (this customer)</t>
        </is>
      </c>
      <c r="D7" s="17">
        <f>D5*$B$4+D6*$C$4</f>
        <v/>
      </c>
      <c r="E7" s="17">
        <f>E5*$B$4+E6*$C$4</f>
        <v/>
      </c>
      <c r="F7" s="17">
        <f>F5*$B$4+F6*$C$4</f>
        <v/>
      </c>
      <c r="G7" s="17">
        <f>G5*$B$4+G6*$C$4</f>
        <v/>
      </c>
      <c r="H7" s="17">
        <f>H5*$B$4+H6*$C$4</f>
        <v/>
      </c>
      <c r="I7" s="17">
        <f>I5*$B$4+I6*$C$4</f>
        <v/>
      </c>
      <c r="J7" s="17">
        <f>J5*$B$4+J6*$C$4</f>
        <v/>
      </c>
      <c r="K7" s="17">
        <f>K5*$B$4+K6*$C$4</f>
        <v/>
      </c>
      <c r="L7" s="17">
        <f>L5*$B$4+L6*$C$4</f>
        <v/>
      </c>
      <c r="M7" s="17">
        <f>M5*$B$4+M6*$C$4</f>
        <v/>
      </c>
      <c r="N7" s="17">
        <f>N5*$B$4+N6*$C$4</f>
        <v/>
      </c>
      <c r="O7" s="17">
        <f>O5*$B$4+O6*$C$4</f>
        <v/>
      </c>
      <c r="P7" s="17">
        <f>P5*$B$4+P6*$C$4</f>
        <v/>
      </c>
      <c r="Q7" s="17">
        <f>Q5*$B$4+Q6*$C$4</f>
        <v/>
      </c>
      <c r="R7" s="17">
        <f>R5*$B$4+R6*$C$4</f>
        <v/>
      </c>
      <c r="S7" s="17">
        <f>S5*$B$4+S6*$C$4</f>
        <v/>
      </c>
      <c r="T7" s="17">
        <f>T5*$B$4+T6*$C$4</f>
        <v/>
      </c>
      <c r="U7" s="17">
        <f>U5*$B$4+U6*$C$4</f>
        <v/>
      </c>
      <c r="V7" s="17">
        <f>V5*$B$4+V6*$C$4</f>
        <v/>
      </c>
      <c r="W7" s="17">
        <f>W5*$B$4+W6*$C$4</f>
        <v/>
      </c>
      <c r="X7" s="17">
        <f>X5*$B$4+X6*$C$4</f>
        <v/>
      </c>
      <c r="Y7" s="17">
        <f>Y5*$B$4+Y6*$C$4</f>
        <v/>
      </c>
      <c r="Z7" s="17">
        <f>Z5*$B$4+Z6*$C$4</f>
        <v/>
      </c>
      <c r="AA7" s="17">
        <f>AA5*$B$4+AA6*$C$4</f>
        <v/>
      </c>
    </row>
    <row r="9">
      <c r="A9" s="2" t="inlineStr">
        <is>
          <t>Rippling</t>
        </is>
      </c>
      <c r="B9" s="4" t="n">
        <v>1000</v>
      </c>
      <c r="C9" s="4" t="n">
        <v>3500</v>
      </c>
    </row>
    <row r="10">
      <c r="A10" s="14" t="inlineStr">
        <is>
          <t xml:space="preserve">  # of Campaigns</t>
        </is>
      </c>
      <c r="D10" s="15" t="n">
        <v>8</v>
      </c>
      <c r="E10" s="15" t="n">
        <v>8</v>
      </c>
      <c r="F10" s="15" t="n">
        <v>9</v>
      </c>
      <c r="G10" s="15" t="n">
        <v>9</v>
      </c>
      <c r="H10" s="15" t="n">
        <v>9</v>
      </c>
      <c r="I10" s="15" t="n">
        <v>10</v>
      </c>
      <c r="J10" s="15" t="n">
        <v>10</v>
      </c>
      <c r="K10" s="15" t="n">
        <v>10</v>
      </c>
      <c r="L10" s="15" t="n">
        <v>11</v>
      </c>
      <c r="M10" s="15" t="n">
        <v>11</v>
      </c>
      <c r="N10" s="15" t="n">
        <v>11</v>
      </c>
      <c r="O10" s="15" t="n">
        <v>12</v>
      </c>
      <c r="P10" s="15" t="n">
        <v>12</v>
      </c>
      <c r="Q10" s="15" t="n">
        <v>13</v>
      </c>
      <c r="R10" s="15" t="n">
        <v>13</v>
      </c>
      <c r="S10" s="15" t="n">
        <v>13</v>
      </c>
      <c r="T10" s="15" t="n">
        <v>14</v>
      </c>
      <c r="U10" s="15" t="n">
        <v>14</v>
      </c>
      <c r="V10" s="15" t="n">
        <v>14</v>
      </c>
      <c r="W10" s="15" t="n">
        <v>15</v>
      </c>
      <c r="X10" s="15" t="n">
        <v>15</v>
      </c>
      <c r="Y10" s="15" t="n">
        <v>15</v>
      </c>
      <c r="Z10" s="15" t="n">
        <v>16</v>
      </c>
      <c r="AA10" s="15" t="n">
        <v>16</v>
      </c>
    </row>
    <row r="11">
      <c r="A11" s="14" t="inlineStr">
        <is>
          <t xml:space="preserve">  # of Meetings</t>
        </is>
      </c>
      <c r="D11" s="15" t="n">
        <v>1</v>
      </c>
      <c r="E11" s="15" t="n">
        <v>1</v>
      </c>
      <c r="F11" s="15" t="n">
        <v>1</v>
      </c>
      <c r="G11" s="15" t="n">
        <v>1</v>
      </c>
      <c r="H11" s="15" t="n">
        <v>1</v>
      </c>
      <c r="I11" s="15" t="n">
        <v>1</v>
      </c>
      <c r="J11" s="15" t="n">
        <v>1</v>
      </c>
      <c r="K11" s="15" t="n">
        <v>1</v>
      </c>
      <c r="L11" s="15" t="n">
        <v>1</v>
      </c>
      <c r="M11" s="15" t="n">
        <v>1</v>
      </c>
      <c r="N11" s="15" t="n">
        <v>1</v>
      </c>
      <c r="O11" s="15" t="n">
        <v>1</v>
      </c>
      <c r="P11" s="15" t="n">
        <v>2</v>
      </c>
      <c r="Q11" s="15" t="n">
        <v>2</v>
      </c>
      <c r="R11" s="15" t="n">
        <v>2</v>
      </c>
      <c r="S11" s="15" t="n">
        <v>2</v>
      </c>
      <c r="T11" s="15" t="n">
        <v>2</v>
      </c>
      <c r="U11" s="15" t="n">
        <v>2</v>
      </c>
      <c r="V11" s="15" t="n">
        <v>2</v>
      </c>
      <c r="W11" s="15" t="n">
        <v>2</v>
      </c>
      <c r="X11" s="15" t="n">
        <v>2</v>
      </c>
      <c r="Y11" s="15" t="n">
        <v>2</v>
      </c>
      <c r="Z11" s="15" t="n">
        <v>2</v>
      </c>
      <c r="AA11" s="15" t="n">
        <v>2</v>
      </c>
    </row>
    <row r="12">
      <c r="A12" s="16" t="inlineStr">
        <is>
          <t xml:space="preserve">  Cash In (this customer)</t>
        </is>
      </c>
      <c r="D12" s="17">
        <f>D10*$B$9+D11*$C$9</f>
        <v/>
      </c>
      <c r="E12" s="17">
        <f>E10*$B$9+E11*$C$9</f>
        <v/>
      </c>
      <c r="F12" s="17">
        <f>F10*$B$9+F11*$C$9</f>
        <v/>
      </c>
      <c r="G12" s="17">
        <f>G10*$B$9+G11*$C$9</f>
        <v/>
      </c>
      <c r="H12" s="17">
        <f>H10*$B$9+H11*$C$9</f>
        <v/>
      </c>
      <c r="I12" s="17">
        <f>I10*$B$9+I11*$C$9</f>
        <v/>
      </c>
      <c r="J12" s="17">
        <f>J10*$B$9+J11*$C$9</f>
        <v/>
      </c>
      <c r="K12" s="17">
        <f>K10*$B$9+K11*$C$9</f>
        <v/>
      </c>
      <c r="L12" s="17">
        <f>L10*$B$9+L11*$C$9</f>
        <v/>
      </c>
      <c r="M12" s="17">
        <f>M10*$B$9+M11*$C$9</f>
        <v/>
      </c>
      <c r="N12" s="17">
        <f>N10*$B$9+N11*$C$9</f>
        <v/>
      </c>
      <c r="O12" s="17">
        <f>O10*$B$9+O11*$C$9</f>
        <v/>
      </c>
      <c r="P12" s="17">
        <f>P10*$B$9+P11*$C$9</f>
        <v/>
      </c>
      <c r="Q12" s="17">
        <f>Q10*$B$9+Q11*$C$9</f>
        <v/>
      </c>
      <c r="R12" s="17">
        <f>R10*$B$9+R11*$C$9</f>
        <v/>
      </c>
      <c r="S12" s="17">
        <f>S10*$B$9+S11*$C$9</f>
        <v/>
      </c>
      <c r="T12" s="17">
        <f>T10*$B$9+T11*$C$9</f>
        <v/>
      </c>
      <c r="U12" s="17">
        <f>U10*$B$9+U11*$C$9</f>
        <v/>
      </c>
      <c r="V12" s="17">
        <f>V10*$B$9+V11*$C$9</f>
        <v/>
      </c>
      <c r="W12" s="17">
        <f>W10*$B$9+W11*$C$9</f>
        <v/>
      </c>
      <c r="X12" s="17">
        <f>X10*$B$9+X11*$C$9</f>
        <v/>
      </c>
      <c r="Y12" s="17">
        <f>Y10*$B$9+Y11*$C$9</f>
        <v/>
      </c>
      <c r="Z12" s="17">
        <f>Z10*$B$9+Z11*$C$9</f>
        <v/>
      </c>
      <c r="AA12" s="17">
        <f>AA10*$B$9+AA11*$C$9</f>
        <v/>
      </c>
    </row>
    <row r="14">
      <c r="A14" s="2" t="inlineStr">
        <is>
          <t>Datadog</t>
        </is>
      </c>
      <c r="B14" s="4" t="n">
        <v>2000</v>
      </c>
      <c r="C14" s="4" t="n">
        <v>0</v>
      </c>
    </row>
    <row r="15">
      <c r="A15" s="14" t="inlineStr">
        <is>
          <t xml:space="preserve">  # of Campaigns</t>
        </is>
      </c>
      <c r="D15" s="15" t="n">
        <v>12</v>
      </c>
      <c r="E15" s="15" t="n">
        <v>12</v>
      </c>
      <c r="F15" s="15" t="n">
        <v>13</v>
      </c>
      <c r="G15" s="15" t="n">
        <v>13</v>
      </c>
      <c r="H15" s="15" t="n">
        <v>13</v>
      </c>
      <c r="I15" s="15" t="n">
        <v>14</v>
      </c>
      <c r="J15" s="15" t="n">
        <v>14</v>
      </c>
      <c r="K15" s="15" t="n">
        <v>14</v>
      </c>
      <c r="L15" s="15" t="n">
        <v>15</v>
      </c>
      <c r="M15" s="15" t="n">
        <v>15</v>
      </c>
      <c r="N15" s="15" t="n">
        <v>15</v>
      </c>
      <c r="O15" s="15" t="n">
        <v>16</v>
      </c>
      <c r="P15" s="15" t="n">
        <v>16</v>
      </c>
      <c r="Q15" s="15" t="n">
        <v>17</v>
      </c>
      <c r="R15" s="15" t="n">
        <v>17</v>
      </c>
      <c r="S15" s="15" t="n">
        <v>17</v>
      </c>
      <c r="T15" s="15" t="n">
        <v>18</v>
      </c>
      <c r="U15" s="15" t="n">
        <v>18</v>
      </c>
      <c r="V15" s="15" t="n">
        <v>18</v>
      </c>
      <c r="W15" s="15" t="n">
        <v>19</v>
      </c>
      <c r="X15" s="15" t="n">
        <v>19</v>
      </c>
      <c r="Y15" s="15" t="n">
        <v>19</v>
      </c>
      <c r="Z15" s="15" t="n">
        <v>20</v>
      </c>
      <c r="AA15" s="15" t="n">
        <v>20</v>
      </c>
    </row>
    <row r="16">
      <c r="A16" s="14" t="inlineStr">
        <is>
          <t xml:space="preserve">  # of Meetings</t>
        </is>
      </c>
      <c r="D16" s="15" t="n">
        <v>0</v>
      </c>
      <c r="E16" s="15" t="n">
        <v>0</v>
      </c>
      <c r="F16" s="15" t="n">
        <v>0</v>
      </c>
      <c r="G16" s="15" t="n">
        <v>0</v>
      </c>
      <c r="H16" s="15" t="n">
        <v>0</v>
      </c>
      <c r="I16" s="15" t="n">
        <v>0</v>
      </c>
      <c r="J16" s="15" t="n">
        <v>0</v>
      </c>
      <c r="K16" s="15" t="n">
        <v>0</v>
      </c>
      <c r="L16" s="15" t="n">
        <v>0</v>
      </c>
      <c r="M16" s="15" t="n">
        <v>0</v>
      </c>
      <c r="N16" s="15" t="n">
        <v>0</v>
      </c>
      <c r="O16" s="15" t="n">
        <v>0</v>
      </c>
      <c r="P16" s="15" t="n">
        <v>0</v>
      </c>
      <c r="Q16" s="15" t="n">
        <v>0</v>
      </c>
      <c r="R16" s="15" t="n">
        <v>0</v>
      </c>
      <c r="S16" s="15" t="n">
        <v>0</v>
      </c>
      <c r="T16" s="15" t="n">
        <v>0</v>
      </c>
      <c r="U16" s="15" t="n">
        <v>0</v>
      </c>
      <c r="V16" s="15" t="n">
        <v>0</v>
      </c>
      <c r="W16" s="15" t="n">
        <v>0</v>
      </c>
      <c r="X16" s="15" t="n">
        <v>0</v>
      </c>
      <c r="Y16" s="15" t="n">
        <v>0</v>
      </c>
      <c r="Z16" s="15" t="n">
        <v>0</v>
      </c>
      <c r="AA16" s="15" t="n">
        <v>0</v>
      </c>
    </row>
    <row r="17">
      <c r="A17" s="16" t="inlineStr">
        <is>
          <t xml:space="preserve">  Cash In (this customer)</t>
        </is>
      </c>
      <c r="D17" s="17">
        <f>D15*$B$14+D16*$C$14</f>
        <v/>
      </c>
      <c r="E17" s="17">
        <f>E15*$B$14+E16*$C$14</f>
        <v/>
      </c>
      <c r="F17" s="17">
        <f>F15*$B$14+F16*$C$14</f>
        <v/>
      </c>
      <c r="G17" s="17">
        <f>G15*$B$14+G16*$C$14</f>
        <v/>
      </c>
      <c r="H17" s="17">
        <f>H15*$B$14+H16*$C$14</f>
        <v/>
      </c>
      <c r="I17" s="17">
        <f>I15*$B$14+I16*$C$14</f>
        <v/>
      </c>
      <c r="J17" s="17">
        <f>J15*$B$14+J16*$C$14</f>
        <v/>
      </c>
      <c r="K17" s="17">
        <f>K15*$B$14+K16*$C$14</f>
        <v/>
      </c>
      <c r="L17" s="17">
        <f>L15*$B$14+L16*$C$14</f>
        <v/>
      </c>
      <c r="M17" s="17">
        <f>M15*$B$14+M16*$C$14</f>
        <v/>
      </c>
      <c r="N17" s="17">
        <f>N15*$B$14+N16*$C$14</f>
        <v/>
      </c>
      <c r="O17" s="17">
        <f>O15*$B$14+O16*$C$14</f>
        <v/>
      </c>
      <c r="P17" s="17">
        <f>P15*$B$14+P16*$C$14</f>
        <v/>
      </c>
      <c r="Q17" s="17">
        <f>Q15*$B$14+Q16*$C$14</f>
        <v/>
      </c>
      <c r="R17" s="17">
        <f>R15*$B$14+R16*$C$14</f>
        <v/>
      </c>
      <c r="S17" s="17">
        <f>S15*$B$14+S16*$C$14</f>
        <v/>
      </c>
      <c r="T17" s="17">
        <f>T15*$B$14+T16*$C$14</f>
        <v/>
      </c>
      <c r="U17" s="17">
        <f>U15*$B$14+U16*$C$14</f>
        <v/>
      </c>
      <c r="V17" s="17">
        <f>V15*$B$14+V16*$C$14</f>
        <v/>
      </c>
      <c r="W17" s="17">
        <f>W15*$B$14+W16*$C$14</f>
        <v/>
      </c>
      <c r="X17" s="17">
        <f>X15*$B$14+X16*$C$14</f>
        <v/>
      </c>
      <c r="Y17" s="17">
        <f>Y15*$B$14+Y16*$C$14</f>
        <v/>
      </c>
      <c r="Z17" s="17">
        <f>Z15*$B$14+Z16*$C$14</f>
        <v/>
      </c>
      <c r="AA17" s="17">
        <f>AA15*$B$14+AA16*$C$14</f>
        <v/>
      </c>
    </row>
    <row r="19">
      <c r="A19" s="2" t="inlineStr">
        <is>
          <t>Chainguard</t>
        </is>
      </c>
      <c r="B19" s="4" t="n">
        <v>1500</v>
      </c>
      <c r="C19" s="4" t="n">
        <v>4000</v>
      </c>
    </row>
    <row r="20">
      <c r="A20" s="14" t="inlineStr">
        <is>
          <t xml:space="preserve">  # of Campaigns</t>
        </is>
      </c>
      <c r="D20" s="15" t="n">
        <v>5</v>
      </c>
      <c r="E20" s="15" t="n">
        <v>5</v>
      </c>
      <c r="F20" s="15" t="n">
        <v>6</v>
      </c>
      <c r="G20" s="15" t="n">
        <v>6</v>
      </c>
      <c r="H20" s="15" t="n">
        <v>6</v>
      </c>
      <c r="I20" s="15" t="n">
        <v>7</v>
      </c>
      <c r="J20" s="15" t="n">
        <v>7</v>
      </c>
      <c r="K20" s="15" t="n">
        <v>7</v>
      </c>
      <c r="L20" s="15" t="n">
        <v>7</v>
      </c>
      <c r="M20" s="15" t="n">
        <v>8</v>
      </c>
      <c r="N20" s="15" t="n">
        <v>8</v>
      </c>
      <c r="O20" s="15" t="n">
        <v>8</v>
      </c>
      <c r="P20" s="15" t="n">
        <v>9</v>
      </c>
      <c r="Q20" s="15" t="n">
        <v>9</v>
      </c>
      <c r="R20" s="15" t="n">
        <v>9</v>
      </c>
      <c r="S20" s="15" t="n">
        <v>10</v>
      </c>
      <c r="T20" s="15" t="n">
        <v>10</v>
      </c>
      <c r="U20" s="15" t="n">
        <v>10</v>
      </c>
      <c r="V20" s="15" t="n">
        <v>10</v>
      </c>
      <c r="W20" s="15" t="n">
        <v>11</v>
      </c>
      <c r="X20" s="15" t="n">
        <v>11</v>
      </c>
      <c r="Y20" s="15" t="n">
        <v>11</v>
      </c>
      <c r="Z20" s="15" t="n">
        <v>12</v>
      </c>
      <c r="AA20" s="15" t="n">
        <v>12</v>
      </c>
    </row>
    <row r="21">
      <c r="A21" s="14" t="inlineStr">
        <is>
          <t xml:space="preserve">  # of Meetings</t>
        </is>
      </c>
      <c r="D21" s="15" t="n">
        <v>0</v>
      </c>
      <c r="E21" s="15" t="n">
        <v>0</v>
      </c>
      <c r="F21" s="15" t="n">
        <v>0</v>
      </c>
      <c r="G21" s="15" t="n">
        <v>0</v>
      </c>
      <c r="H21" s="15" t="n">
        <v>0</v>
      </c>
      <c r="I21" s="15" t="n">
        <v>0</v>
      </c>
      <c r="J21" s="15" t="n">
        <v>0</v>
      </c>
      <c r="K21" s="15" t="n">
        <v>0</v>
      </c>
      <c r="L21" s="15" t="n">
        <v>0</v>
      </c>
      <c r="M21" s="15" t="n">
        <v>0</v>
      </c>
      <c r="N21" s="15" t="n">
        <v>0</v>
      </c>
      <c r="O21" s="15" t="n">
        <v>0</v>
      </c>
      <c r="P21" s="15" t="n">
        <v>1</v>
      </c>
      <c r="Q21" s="15" t="n">
        <v>1</v>
      </c>
      <c r="R21" s="15" t="n">
        <v>1</v>
      </c>
      <c r="S21" s="15" t="n">
        <v>1</v>
      </c>
      <c r="T21" s="15" t="n">
        <v>1</v>
      </c>
      <c r="U21" s="15" t="n">
        <v>1</v>
      </c>
      <c r="V21" s="15" t="n">
        <v>1</v>
      </c>
      <c r="W21" s="15" t="n">
        <v>1</v>
      </c>
      <c r="X21" s="15" t="n">
        <v>1</v>
      </c>
      <c r="Y21" s="15" t="n">
        <v>1</v>
      </c>
      <c r="Z21" s="15" t="n">
        <v>1</v>
      </c>
      <c r="AA21" s="15" t="n">
        <v>1</v>
      </c>
    </row>
    <row r="22">
      <c r="A22" s="16" t="inlineStr">
        <is>
          <t xml:space="preserve">  Cash In (this customer)</t>
        </is>
      </c>
      <c r="D22" s="17">
        <f>D20*$B$19+D21*$C$19</f>
        <v/>
      </c>
      <c r="E22" s="17">
        <f>E20*$B$19+E21*$C$19</f>
        <v/>
      </c>
      <c r="F22" s="17">
        <f>F20*$B$19+F21*$C$19</f>
        <v/>
      </c>
      <c r="G22" s="17">
        <f>G20*$B$19+G21*$C$19</f>
        <v/>
      </c>
      <c r="H22" s="17">
        <f>H20*$B$19+H21*$C$19</f>
        <v/>
      </c>
      <c r="I22" s="17">
        <f>I20*$B$19+I21*$C$19</f>
        <v/>
      </c>
      <c r="J22" s="17">
        <f>J20*$B$19+J21*$C$19</f>
        <v/>
      </c>
      <c r="K22" s="17">
        <f>K20*$B$19+K21*$C$19</f>
        <v/>
      </c>
      <c r="L22" s="17">
        <f>L20*$B$19+L21*$C$19</f>
        <v/>
      </c>
      <c r="M22" s="17">
        <f>M20*$B$19+M21*$C$19</f>
        <v/>
      </c>
      <c r="N22" s="17">
        <f>N20*$B$19+N21*$C$19</f>
        <v/>
      </c>
      <c r="O22" s="17">
        <f>O20*$B$19+O21*$C$19</f>
        <v/>
      </c>
      <c r="P22" s="17">
        <f>P20*$B$19+P21*$C$19</f>
        <v/>
      </c>
      <c r="Q22" s="17">
        <f>Q20*$B$19+Q21*$C$19</f>
        <v/>
      </c>
      <c r="R22" s="17">
        <f>R20*$B$19+R21*$C$19</f>
        <v/>
      </c>
      <c r="S22" s="17">
        <f>S20*$B$19+S21*$C$19</f>
        <v/>
      </c>
      <c r="T22" s="17">
        <f>T20*$B$19+T21*$C$19</f>
        <v/>
      </c>
      <c r="U22" s="17">
        <f>U20*$B$19+U21*$C$19</f>
        <v/>
      </c>
      <c r="V22" s="17">
        <f>V20*$B$19+V21*$C$19</f>
        <v/>
      </c>
      <c r="W22" s="17">
        <f>W20*$B$19+W21*$C$19</f>
        <v/>
      </c>
      <c r="X22" s="17">
        <f>X20*$B$19+X21*$C$19</f>
        <v/>
      </c>
      <c r="Y22" s="17">
        <f>Y20*$B$19+Y21*$C$19</f>
        <v/>
      </c>
      <c r="Z22" s="17">
        <f>Z20*$B$19+Z21*$C$19</f>
        <v/>
      </c>
      <c r="AA22" s="17">
        <f>AA20*$B$19+AA21*$C$19</f>
        <v/>
      </c>
    </row>
    <row r="24">
      <c r="A24" s="2" t="inlineStr">
        <is>
          <t>Solid Road</t>
        </is>
      </c>
      <c r="B24" s="4" t="n">
        <v>1200</v>
      </c>
      <c r="C24" s="4" t="n">
        <v>3000</v>
      </c>
    </row>
    <row r="25">
      <c r="A25" s="14" t="inlineStr">
        <is>
          <t xml:space="preserve">  # of Campaigns</t>
        </is>
      </c>
      <c r="D25" s="15" t="n">
        <v>4</v>
      </c>
      <c r="E25" s="15" t="n">
        <v>4</v>
      </c>
      <c r="F25" s="15" t="n">
        <v>5</v>
      </c>
      <c r="G25" s="15" t="n">
        <v>5</v>
      </c>
      <c r="H25" s="15" t="n">
        <v>5</v>
      </c>
      <c r="I25" s="15" t="n">
        <v>5</v>
      </c>
      <c r="J25" s="15" t="n">
        <v>6</v>
      </c>
      <c r="K25" s="15" t="n">
        <v>6</v>
      </c>
      <c r="L25" s="15" t="n">
        <v>6</v>
      </c>
      <c r="M25" s="15" t="n">
        <v>6</v>
      </c>
      <c r="N25" s="15" t="n">
        <v>7</v>
      </c>
      <c r="O25" s="15" t="n">
        <v>7</v>
      </c>
      <c r="P25" s="15" t="n">
        <v>7</v>
      </c>
      <c r="Q25" s="15" t="n">
        <v>7</v>
      </c>
      <c r="R25" s="15" t="n">
        <v>8</v>
      </c>
      <c r="S25" s="15" t="n">
        <v>8</v>
      </c>
      <c r="T25" s="15" t="n">
        <v>8</v>
      </c>
      <c r="U25" s="15" t="n">
        <v>8</v>
      </c>
      <c r="V25" s="15" t="n">
        <v>9</v>
      </c>
      <c r="W25" s="15" t="n">
        <v>9</v>
      </c>
      <c r="X25" s="15" t="n">
        <v>9</v>
      </c>
      <c r="Y25" s="15" t="n">
        <v>9</v>
      </c>
      <c r="Z25" s="15" t="n">
        <v>10</v>
      </c>
      <c r="AA25" s="15" t="n">
        <v>10</v>
      </c>
    </row>
    <row r="26">
      <c r="A26" s="14" t="inlineStr">
        <is>
          <t xml:space="preserve">  # of Meetings</t>
        </is>
      </c>
      <c r="D26" s="15" t="n">
        <v>0</v>
      </c>
      <c r="E26" s="15" t="n">
        <v>0</v>
      </c>
      <c r="F26" s="15" t="n">
        <v>0</v>
      </c>
      <c r="G26" s="15" t="n">
        <v>0</v>
      </c>
      <c r="H26" s="15" t="n">
        <v>0</v>
      </c>
      <c r="I26" s="15" t="n">
        <v>0</v>
      </c>
      <c r="J26" s="15" t="n">
        <v>0</v>
      </c>
      <c r="K26" s="15" t="n">
        <v>0</v>
      </c>
      <c r="L26" s="15" t="n">
        <v>0</v>
      </c>
      <c r="M26" s="15" t="n">
        <v>0</v>
      </c>
      <c r="N26" s="15" t="n">
        <v>0</v>
      </c>
      <c r="O26" s="15" t="n">
        <v>0</v>
      </c>
      <c r="P26" s="15" t="n">
        <v>1</v>
      </c>
      <c r="Q26" s="15" t="n">
        <v>1</v>
      </c>
      <c r="R26" s="15" t="n">
        <v>1</v>
      </c>
      <c r="S26" s="15" t="n">
        <v>1</v>
      </c>
      <c r="T26" s="15" t="n">
        <v>1</v>
      </c>
      <c r="U26" s="15" t="n">
        <v>1</v>
      </c>
      <c r="V26" s="15" t="n">
        <v>1</v>
      </c>
      <c r="W26" s="15" t="n">
        <v>1</v>
      </c>
      <c r="X26" s="15" t="n">
        <v>1</v>
      </c>
      <c r="Y26" s="15" t="n">
        <v>1</v>
      </c>
      <c r="Z26" s="15" t="n">
        <v>1</v>
      </c>
      <c r="AA26" s="15" t="n">
        <v>1</v>
      </c>
    </row>
    <row r="27">
      <c r="A27" s="16" t="inlineStr">
        <is>
          <t xml:space="preserve">  Cash In (this customer)</t>
        </is>
      </c>
      <c r="D27" s="17">
        <f>D25*$B$24+D26*$C$24</f>
        <v/>
      </c>
      <c r="E27" s="17">
        <f>E25*$B$24+E26*$C$24</f>
        <v/>
      </c>
      <c r="F27" s="17">
        <f>F25*$B$24+F26*$C$24</f>
        <v/>
      </c>
      <c r="G27" s="17">
        <f>G25*$B$24+G26*$C$24</f>
        <v/>
      </c>
      <c r="H27" s="17">
        <f>H25*$B$24+H26*$C$24</f>
        <v/>
      </c>
      <c r="I27" s="17">
        <f>I25*$B$24+I26*$C$24</f>
        <v/>
      </c>
      <c r="J27" s="17">
        <f>J25*$B$24+J26*$C$24</f>
        <v/>
      </c>
      <c r="K27" s="17">
        <f>K25*$B$24+K26*$C$24</f>
        <v/>
      </c>
      <c r="L27" s="17">
        <f>L25*$B$24+L26*$C$24</f>
        <v/>
      </c>
      <c r="M27" s="17">
        <f>M25*$B$24+M26*$C$24</f>
        <v/>
      </c>
      <c r="N27" s="17">
        <f>N25*$B$24+N26*$C$24</f>
        <v/>
      </c>
      <c r="O27" s="17">
        <f>O25*$B$24+O26*$C$24</f>
        <v/>
      </c>
      <c r="P27" s="17">
        <f>P25*$B$24+P26*$C$24</f>
        <v/>
      </c>
      <c r="Q27" s="17">
        <f>Q25*$B$24+Q26*$C$24</f>
        <v/>
      </c>
      <c r="R27" s="17">
        <f>R25*$B$24+R26*$C$24</f>
        <v/>
      </c>
      <c r="S27" s="17">
        <f>S25*$B$24+S26*$C$24</f>
        <v/>
      </c>
      <c r="T27" s="17">
        <f>T25*$B$24+T26*$C$24</f>
        <v/>
      </c>
      <c r="U27" s="17">
        <f>U25*$B$24+U26*$C$24</f>
        <v/>
      </c>
      <c r="V27" s="17">
        <f>V25*$B$24+V26*$C$24</f>
        <v/>
      </c>
      <c r="W27" s="17">
        <f>W25*$B$24+W26*$C$24</f>
        <v/>
      </c>
      <c r="X27" s="17">
        <f>X25*$B$24+X26*$C$24</f>
        <v/>
      </c>
      <c r="Y27" s="17">
        <f>Y25*$B$24+Y26*$C$24</f>
        <v/>
      </c>
      <c r="Z27" s="17">
        <f>Z25*$B$24+Z26*$C$24</f>
        <v/>
      </c>
      <c r="AA27" s="17">
        <f>AA25*$B$24+AA26*$C$24</f>
        <v/>
      </c>
    </row>
    <row r="29">
      <c r="A29" s="2" t="inlineStr">
        <is>
          <t>TOTAL Cash In (all customers)</t>
        </is>
      </c>
      <c r="D29" s="12">
        <f>SUM(D7,D12,D17,D22,D27)</f>
        <v/>
      </c>
      <c r="E29" s="12">
        <f>SUM(E7,E12,E17,E22,E27)</f>
        <v/>
      </c>
      <c r="F29" s="12">
        <f>SUM(F7,F12,F17,F22,F27)</f>
        <v/>
      </c>
      <c r="G29" s="12">
        <f>SUM(G7,G12,G17,G22,G27)</f>
        <v/>
      </c>
      <c r="H29" s="12">
        <f>SUM(H7,H12,H17,H22,H27)</f>
        <v/>
      </c>
      <c r="I29" s="12">
        <f>SUM(I7,I12,I17,I22,I27)</f>
        <v/>
      </c>
      <c r="J29" s="12">
        <f>SUM(J7,J12,J17,J22,J27)</f>
        <v/>
      </c>
      <c r="K29" s="12">
        <f>SUM(K7,K12,K17,K22,K27)</f>
        <v/>
      </c>
      <c r="L29" s="12">
        <f>SUM(L7,L12,L17,L22,L27)</f>
        <v/>
      </c>
      <c r="M29" s="12">
        <f>SUM(M7,M12,M17,M22,M27)</f>
        <v/>
      </c>
      <c r="N29" s="12">
        <f>SUM(N7,N12,N17,N22,N27)</f>
        <v/>
      </c>
      <c r="O29" s="12">
        <f>SUM(O7,O12,O17,O22,O27)</f>
        <v/>
      </c>
      <c r="P29" s="12">
        <f>SUM(P7,P12,P17,P22,P27)</f>
        <v/>
      </c>
      <c r="Q29" s="12">
        <f>SUM(Q7,Q12,Q17,Q22,Q27)</f>
        <v/>
      </c>
      <c r="R29" s="12">
        <f>SUM(R7,R12,R17,R22,R27)</f>
        <v/>
      </c>
      <c r="S29" s="12">
        <f>SUM(S7,S12,S17,S22,S27)</f>
        <v/>
      </c>
      <c r="T29" s="12">
        <f>SUM(T7,T12,T17,T22,T27)</f>
        <v/>
      </c>
      <c r="U29" s="12">
        <f>SUM(U7,U12,U17,U22,U27)</f>
        <v/>
      </c>
      <c r="V29" s="12">
        <f>SUM(V7,V12,V17,V22,V27)</f>
        <v/>
      </c>
      <c r="W29" s="12">
        <f>SUM(W7,W12,W17,W22,W27)</f>
        <v/>
      </c>
      <c r="X29" s="12">
        <f>SUM(X7,X12,X17,X22,X27)</f>
        <v/>
      </c>
      <c r="Y29" s="12">
        <f>SUM(Y7,Y12,Y17,Y22,Y27)</f>
        <v/>
      </c>
      <c r="Z29" s="12">
        <f>SUM(Z7,Z12,Z17,Z22,Z27)</f>
        <v/>
      </c>
      <c r="AA29" s="12">
        <f>SUM(AA7,AA12,AA17,AA22,AA27)</f>
        <v/>
      </c>
    </row>
  </sheetData>
  <mergeCells count="1">
    <mergeCell ref="A1:AA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M43"/>
  <sheetViews>
    <sheetView showGridLines="0" workbookViewId="0">
      <pane xSplit="15" ySplit="5" topLeftCell="P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3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</cols>
  <sheetData>
    <row r="1" ht="26" customHeight="1">
      <c r="A1" s="1" t="inlineStr">
        <is>
          <t>Wildcard — Revenue Model: CSM-Linked (New)</t>
        </is>
      </c>
    </row>
    <row r="3" ht="30" customHeight="1">
      <c r="A3" s="18" t="inlineStr">
        <is>
          <t>Customer / Deal</t>
        </is>
      </c>
      <c r="B3" s="18" t="inlineStr">
        <is>
          <t>Stage</t>
        </is>
      </c>
      <c r="C3" s="18" t="inlineStr">
        <is>
          <t>Probability %</t>
        </is>
      </c>
      <c r="D3" s="18" t="inlineStr">
        <is>
          <t>Contract Value ($)</t>
        </is>
      </c>
      <c r="E3" s="18" t="inlineStr">
        <is>
          <t>Contract Term (months)</t>
        </is>
      </c>
      <c r="F3" s="18" t="inlineStr">
        <is>
          <t>Signing / Expected Close Month</t>
        </is>
      </c>
      <c r="G3" s="18" t="inlineStr">
        <is>
          <t>Recognition Start Rule</t>
        </is>
      </c>
      <c r="H3" s="18" t="inlineStr">
        <is>
          <t>Cash Timing</t>
        </is>
      </c>
      <c r="I3" s="18" t="inlineStr">
        <is>
          <t>Avg Success Fee $/Meeting</t>
        </is>
      </c>
      <c r="J3" s="18" t="inlineStr">
        <is>
          <t>Expected Meetings (over term)</t>
        </is>
      </c>
      <c r="K3" s="18" t="inlineStr">
        <is>
          <t>Success Fee Invoice Lag (months)</t>
        </is>
      </c>
      <c r="L3" s="19" t="inlineStr">
        <is>
          <t>Signing Mo#</t>
        </is>
      </c>
      <c r="M3" s="19" t="inlineStr">
        <is>
          <t>Recog Start Mo#</t>
        </is>
      </c>
      <c r="N3" s="19" t="inlineStr">
        <is>
          <t>Recog End Mo#</t>
        </is>
      </c>
      <c r="P3" s="8" t="n">
        <v>46023</v>
      </c>
      <c r="Q3" s="8" t="n">
        <v>46054</v>
      </c>
      <c r="R3" s="8" t="n">
        <v>46082</v>
      </c>
      <c r="S3" s="8" t="n">
        <v>46113</v>
      </c>
      <c r="T3" s="8" t="n">
        <v>46143</v>
      </c>
      <c r="U3" s="8" t="n">
        <v>46174</v>
      </c>
      <c r="V3" s="8" t="n">
        <v>46204</v>
      </c>
      <c r="W3" s="8" t="n">
        <v>46235</v>
      </c>
      <c r="X3" s="8" t="n">
        <v>46266</v>
      </c>
      <c r="Y3" s="8" t="n">
        <v>46296</v>
      </c>
      <c r="Z3" s="8" t="n">
        <v>46327</v>
      </c>
      <c r="AA3" s="8" t="n">
        <v>46357</v>
      </c>
      <c r="AB3" s="8" t="n">
        <v>46388</v>
      </c>
      <c r="AC3" s="8" t="n">
        <v>46419</v>
      </c>
      <c r="AD3" s="8" t="n">
        <v>46447</v>
      </c>
      <c r="AE3" s="8" t="n">
        <v>46478</v>
      </c>
      <c r="AF3" s="8" t="n">
        <v>46508</v>
      </c>
      <c r="AG3" s="8" t="n">
        <v>46539</v>
      </c>
      <c r="AH3" s="8" t="n">
        <v>46569</v>
      </c>
      <c r="AI3" s="8" t="n">
        <v>46600</v>
      </c>
      <c r="AJ3" s="8" t="n">
        <v>46631</v>
      </c>
      <c r="AK3" s="8" t="n">
        <v>46661</v>
      </c>
      <c r="AL3" s="8" t="n">
        <v>46692</v>
      </c>
      <c r="AM3" s="8" t="n">
        <v>46722</v>
      </c>
    </row>
    <row r="4">
      <c r="A4" s="20" t="inlineStr">
        <is>
          <t>Month #</t>
        </is>
      </c>
      <c r="P4" s="21">
        <f>YEAR(P3)*12+MONTH(P3)</f>
        <v/>
      </c>
      <c r="Q4" s="21">
        <f>YEAR(Q3)*12+MONTH(Q3)</f>
        <v/>
      </c>
      <c r="R4" s="21">
        <f>YEAR(R3)*12+MONTH(R3)</f>
        <v/>
      </c>
      <c r="S4" s="21">
        <f>YEAR(S3)*12+MONTH(S3)</f>
        <v/>
      </c>
      <c r="T4" s="21">
        <f>YEAR(T3)*12+MONTH(T3)</f>
        <v/>
      </c>
      <c r="U4" s="21">
        <f>YEAR(U3)*12+MONTH(U3)</f>
        <v/>
      </c>
      <c r="V4" s="21">
        <f>YEAR(V3)*12+MONTH(V3)</f>
        <v/>
      </c>
      <c r="W4" s="21">
        <f>YEAR(W3)*12+MONTH(W3)</f>
        <v/>
      </c>
      <c r="X4" s="21">
        <f>YEAR(X3)*12+MONTH(X3)</f>
        <v/>
      </c>
      <c r="Y4" s="21">
        <f>YEAR(Y3)*12+MONTH(Y3)</f>
        <v/>
      </c>
      <c r="Z4" s="21">
        <f>YEAR(Z3)*12+MONTH(Z3)</f>
        <v/>
      </c>
      <c r="AA4" s="21">
        <f>YEAR(AA3)*12+MONTH(AA3)</f>
        <v/>
      </c>
      <c r="AB4" s="21">
        <f>YEAR(AB3)*12+MONTH(AB3)</f>
        <v/>
      </c>
      <c r="AC4" s="21">
        <f>YEAR(AC3)*12+MONTH(AC3)</f>
        <v/>
      </c>
      <c r="AD4" s="21">
        <f>YEAR(AD3)*12+MONTH(AD3)</f>
        <v/>
      </c>
      <c r="AE4" s="21">
        <f>YEAR(AE3)*12+MONTH(AE3)</f>
        <v/>
      </c>
      <c r="AF4" s="21">
        <f>YEAR(AF3)*12+MONTH(AF3)</f>
        <v/>
      </c>
      <c r="AG4" s="21">
        <f>YEAR(AG3)*12+MONTH(AG3)</f>
        <v/>
      </c>
      <c r="AH4" s="21">
        <f>YEAR(AH3)*12+MONTH(AH3)</f>
        <v/>
      </c>
      <c r="AI4" s="21">
        <f>YEAR(AI3)*12+MONTH(AI3)</f>
        <v/>
      </c>
      <c r="AJ4" s="21">
        <f>YEAR(AJ3)*12+MONTH(AJ3)</f>
        <v/>
      </c>
      <c r="AK4" s="21">
        <f>YEAR(AK3)*12+MONTH(AK3)</f>
        <v/>
      </c>
      <c r="AL4" s="21">
        <f>YEAR(AL3)*12+MONTH(AL3)</f>
        <v/>
      </c>
      <c r="AM4" s="21">
        <f>YEAR(AM3)*12+MONTH(AM3)</f>
        <v/>
      </c>
    </row>
    <row r="6">
      <c r="A6" s="22" t="inlineStr">
        <is>
          <t>11 Labs</t>
        </is>
      </c>
      <c r="B6" s="23" t="inlineStr">
        <is>
          <t>Signed</t>
        </is>
      </c>
      <c r="C6" s="5" t="n">
        <v>1</v>
      </c>
      <c r="D6" s="4" t="n">
        <v>54000</v>
      </c>
      <c r="E6" s="6" t="n">
        <v>12</v>
      </c>
      <c r="F6" s="24" t="n">
        <v>46023</v>
      </c>
      <c r="G6" s="23" t="inlineStr">
        <is>
          <t>Signing Month</t>
        </is>
      </c>
      <c r="H6" s="23" t="inlineStr">
        <is>
          <t>Spread Monthly (=Accrual)</t>
        </is>
      </c>
      <c r="I6" s="4" t="n">
        <v>4000</v>
      </c>
      <c r="J6" s="6" t="n">
        <v>6</v>
      </c>
      <c r="K6" s="6" t="n">
        <v>1</v>
      </c>
      <c r="L6" s="25">
        <f>YEAR(F6)*12+MONTH(F6)</f>
        <v/>
      </c>
      <c r="M6" s="25">
        <f>L6+IF(G6="Month After Signing",1,0)</f>
        <v/>
      </c>
      <c r="N6" s="25">
        <f>M6+E6-1</f>
        <v/>
      </c>
    </row>
    <row r="7">
      <c r="A7" s="26" t="inlineStr">
        <is>
          <t xml:space="preserve">   Contract Accrual</t>
        </is>
      </c>
      <c r="P7" s="11">
        <f>IF(AND(P$4&gt;=$M$6,P$4&lt;=$N$6),$D$6/$E$6*$C$6,0)</f>
        <v/>
      </c>
      <c r="Q7" s="11">
        <f>IF(AND(Q$4&gt;=$M$6,Q$4&lt;=$N$6),$D$6/$E$6*$C$6,0)</f>
        <v/>
      </c>
      <c r="R7" s="11">
        <f>IF(AND(R$4&gt;=$M$6,R$4&lt;=$N$6),$D$6/$E$6*$C$6,0)</f>
        <v/>
      </c>
      <c r="S7" s="11">
        <f>IF(AND(S$4&gt;=$M$6,S$4&lt;=$N$6),$D$6/$E$6*$C$6,0)</f>
        <v/>
      </c>
      <c r="T7" s="11">
        <f>IF(AND(T$4&gt;=$M$6,T$4&lt;=$N$6),$D$6/$E$6*$C$6,0)</f>
        <v/>
      </c>
      <c r="U7" s="11">
        <f>IF(AND(U$4&gt;=$M$6,U$4&lt;=$N$6),$D$6/$E$6*$C$6,0)</f>
        <v/>
      </c>
      <c r="V7" s="11">
        <f>IF(AND(V$4&gt;=$M$6,V$4&lt;=$N$6),$D$6/$E$6*$C$6,0)</f>
        <v/>
      </c>
      <c r="W7" s="11">
        <f>IF(AND(W$4&gt;=$M$6,W$4&lt;=$N$6),$D$6/$E$6*$C$6,0)</f>
        <v/>
      </c>
      <c r="X7" s="11">
        <f>IF(AND(X$4&gt;=$M$6,X$4&lt;=$N$6),$D$6/$E$6*$C$6,0)</f>
        <v/>
      </c>
      <c r="Y7" s="11">
        <f>IF(AND(Y$4&gt;=$M$6,Y$4&lt;=$N$6),$D$6/$E$6*$C$6,0)</f>
        <v/>
      </c>
      <c r="Z7" s="11">
        <f>IF(AND(Z$4&gt;=$M$6,Z$4&lt;=$N$6),$D$6/$E$6*$C$6,0)</f>
        <v/>
      </c>
      <c r="AA7" s="11">
        <f>IF(AND(AA$4&gt;=$M$6,AA$4&lt;=$N$6),$D$6/$E$6*$C$6,0)</f>
        <v/>
      </c>
      <c r="AB7" s="11">
        <f>IF(AND(AB$4&gt;=$M$6,AB$4&lt;=$N$6),$D$6/$E$6*$C$6,0)</f>
        <v/>
      </c>
      <c r="AC7" s="11">
        <f>IF(AND(AC$4&gt;=$M$6,AC$4&lt;=$N$6),$D$6/$E$6*$C$6,0)</f>
        <v/>
      </c>
      <c r="AD7" s="11">
        <f>IF(AND(AD$4&gt;=$M$6,AD$4&lt;=$N$6),$D$6/$E$6*$C$6,0)</f>
        <v/>
      </c>
      <c r="AE7" s="11">
        <f>IF(AND(AE$4&gt;=$M$6,AE$4&lt;=$N$6),$D$6/$E$6*$C$6,0)</f>
        <v/>
      </c>
      <c r="AF7" s="11">
        <f>IF(AND(AF$4&gt;=$M$6,AF$4&lt;=$N$6),$D$6/$E$6*$C$6,0)</f>
        <v/>
      </c>
      <c r="AG7" s="11">
        <f>IF(AND(AG$4&gt;=$M$6,AG$4&lt;=$N$6),$D$6/$E$6*$C$6,0)</f>
        <v/>
      </c>
      <c r="AH7" s="11">
        <f>IF(AND(AH$4&gt;=$M$6,AH$4&lt;=$N$6),$D$6/$E$6*$C$6,0)</f>
        <v/>
      </c>
      <c r="AI7" s="11">
        <f>IF(AND(AI$4&gt;=$M$6,AI$4&lt;=$N$6),$D$6/$E$6*$C$6,0)</f>
        <v/>
      </c>
      <c r="AJ7" s="11">
        <f>IF(AND(AJ$4&gt;=$M$6,AJ$4&lt;=$N$6),$D$6/$E$6*$C$6,0)</f>
        <v/>
      </c>
      <c r="AK7" s="11">
        <f>IF(AND(AK$4&gt;=$M$6,AK$4&lt;=$N$6),$D$6/$E$6*$C$6,0)</f>
        <v/>
      </c>
      <c r="AL7" s="11">
        <f>IF(AND(AL$4&gt;=$M$6,AL$4&lt;=$N$6),$D$6/$E$6*$C$6,0)</f>
        <v/>
      </c>
      <c r="AM7" s="11">
        <f>IF(AND(AM$4&gt;=$M$6,AM$4&lt;=$N$6),$D$6/$E$6*$C$6,0)</f>
        <v/>
      </c>
    </row>
    <row r="8">
      <c r="A8" s="26" t="inlineStr">
        <is>
          <t xml:space="preserve">   Contract Cash</t>
        </is>
      </c>
      <c r="P8" s="11">
        <f>IF($H$6="Lump Sum at Signing",IF(P$4=$L$6,$D$6*$C$6,0),IF(AND(P$4&gt;=$M$6,P$4&lt;=$N$6),$D$6/$E$6*$C$6,0))</f>
        <v/>
      </c>
      <c r="Q8" s="11">
        <f>IF($H$6="Lump Sum at Signing",IF(Q$4=$L$6,$D$6*$C$6,0),IF(AND(Q$4&gt;=$M$6,Q$4&lt;=$N$6),$D$6/$E$6*$C$6,0))</f>
        <v/>
      </c>
      <c r="R8" s="11">
        <f>IF($H$6="Lump Sum at Signing",IF(R$4=$L$6,$D$6*$C$6,0),IF(AND(R$4&gt;=$M$6,R$4&lt;=$N$6),$D$6/$E$6*$C$6,0))</f>
        <v/>
      </c>
      <c r="S8" s="11">
        <f>IF($H$6="Lump Sum at Signing",IF(S$4=$L$6,$D$6*$C$6,0),IF(AND(S$4&gt;=$M$6,S$4&lt;=$N$6),$D$6/$E$6*$C$6,0))</f>
        <v/>
      </c>
      <c r="T8" s="11">
        <f>IF($H$6="Lump Sum at Signing",IF(T$4=$L$6,$D$6*$C$6,0),IF(AND(T$4&gt;=$M$6,T$4&lt;=$N$6),$D$6/$E$6*$C$6,0))</f>
        <v/>
      </c>
      <c r="U8" s="11">
        <f>IF($H$6="Lump Sum at Signing",IF(U$4=$L$6,$D$6*$C$6,0),IF(AND(U$4&gt;=$M$6,U$4&lt;=$N$6),$D$6/$E$6*$C$6,0))</f>
        <v/>
      </c>
      <c r="V8" s="11">
        <f>IF($H$6="Lump Sum at Signing",IF(V$4=$L$6,$D$6*$C$6,0),IF(AND(V$4&gt;=$M$6,V$4&lt;=$N$6),$D$6/$E$6*$C$6,0))</f>
        <v/>
      </c>
      <c r="W8" s="11">
        <f>IF($H$6="Lump Sum at Signing",IF(W$4=$L$6,$D$6*$C$6,0),IF(AND(W$4&gt;=$M$6,W$4&lt;=$N$6),$D$6/$E$6*$C$6,0))</f>
        <v/>
      </c>
      <c r="X8" s="11">
        <f>IF($H$6="Lump Sum at Signing",IF(X$4=$L$6,$D$6*$C$6,0),IF(AND(X$4&gt;=$M$6,X$4&lt;=$N$6),$D$6/$E$6*$C$6,0))</f>
        <v/>
      </c>
      <c r="Y8" s="11">
        <f>IF($H$6="Lump Sum at Signing",IF(Y$4=$L$6,$D$6*$C$6,0),IF(AND(Y$4&gt;=$M$6,Y$4&lt;=$N$6),$D$6/$E$6*$C$6,0))</f>
        <v/>
      </c>
      <c r="Z8" s="11">
        <f>IF($H$6="Lump Sum at Signing",IF(Z$4=$L$6,$D$6*$C$6,0),IF(AND(Z$4&gt;=$M$6,Z$4&lt;=$N$6),$D$6/$E$6*$C$6,0))</f>
        <v/>
      </c>
      <c r="AA8" s="11">
        <f>IF($H$6="Lump Sum at Signing",IF(AA$4=$L$6,$D$6*$C$6,0),IF(AND(AA$4&gt;=$M$6,AA$4&lt;=$N$6),$D$6/$E$6*$C$6,0))</f>
        <v/>
      </c>
      <c r="AB8" s="11">
        <f>IF($H$6="Lump Sum at Signing",IF(AB$4=$L$6,$D$6*$C$6,0),IF(AND(AB$4&gt;=$M$6,AB$4&lt;=$N$6),$D$6/$E$6*$C$6,0))</f>
        <v/>
      </c>
      <c r="AC8" s="11">
        <f>IF($H$6="Lump Sum at Signing",IF(AC$4=$L$6,$D$6*$C$6,0),IF(AND(AC$4&gt;=$M$6,AC$4&lt;=$N$6),$D$6/$E$6*$C$6,0))</f>
        <v/>
      </c>
      <c r="AD8" s="11">
        <f>IF($H$6="Lump Sum at Signing",IF(AD$4=$L$6,$D$6*$C$6,0),IF(AND(AD$4&gt;=$M$6,AD$4&lt;=$N$6),$D$6/$E$6*$C$6,0))</f>
        <v/>
      </c>
      <c r="AE8" s="11">
        <f>IF($H$6="Lump Sum at Signing",IF(AE$4=$L$6,$D$6*$C$6,0),IF(AND(AE$4&gt;=$M$6,AE$4&lt;=$N$6),$D$6/$E$6*$C$6,0))</f>
        <v/>
      </c>
      <c r="AF8" s="11">
        <f>IF($H$6="Lump Sum at Signing",IF(AF$4=$L$6,$D$6*$C$6,0),IF(AND(AF$4&gt;=$M$6,AF$4&lt;=$N$6),$D$6/$E$6*$C$6,0))</f>
        <v/>
      </c>
      <c r="AG8" s="11">
        <f>IF($H$6="Lump Sum at Signing",IF(AG$4=$L$6,$D$6*$C$6,0),IF(AND(AG$4&gt;=$M$6,AG$4&lt;=$N$6),$D$6/$E$6*$C$6,0))</f>
        <v/>
      </c>
      <c r="AH8" s="11">
        <f>IF($H$6="Lump Sum at Signing",IF(AH$4=$L$6,$D$6*$C$6,0),IF(AND(AH$4&gt;=$M$6,AH$4&lt;=$N$6),$D$6/$E$6*$C$6,0))</f>
        <v/>
      </c>
      <c r="AI8" s="11">
        <f>IF($H$6="Lump Sum at Signing",IF(AI$4=$L$6,$D$6*$C$6,0),IF(AND(AI$4&gt;=$M$6,AI$4&lt;=$N$6),$D$6/$E$6*$C$6,0))</f>
        <v/>
      </c>
      <c r="AJ8" s="11">
        <f>IF($H$6="Lump Sum at Signing",IF(AJ$4=$L$6,$D$6*$C$6,0),IF(AND(AJ$4&gt;=$M$6,AJ$4&lt;=$N$6),$D$6/$E$6*$C$6,0))</f>
        <v/>
      </c>
      <c r="AK8" s="11">
        <f>IF($H$6="Lump Sum at Signing",IF(AK$4=$L$6,$D$6*$C$6,0),IF(AND(AK$4&gt;=$M$6,AK$4&lt;=$N$6),$D$6/$E$6*$C$6,0))</f>
        <v/>
      </c>
      <c r="AL8" s="11">
        <f>IF($H$6="Lump Sum at Signing",IF(AL$4=$L$6,$D$6*$C$6,0),IF(AND(AL$4&gt;=$M$6,AL$4&lt;=$N$6),$D$6/$E$6*$C$6,0))</f>
        <v/>
      </c>
      <c r="AM8" s="11">
        <f>IF($H$6="Lump Sum at Signing",IF(AM$4=$L$6,$D$6*$C$6,0),IF(AND(AM$4&gt;=$M$6,AM$4&lt;=$N$6),$D$6/$E$6*$C$6,0))</f>
        <v/>
      </c>
    </row>
    <row r="9">
      <c r="A9" s="26" t="inlineStr">
        <is>
          <t xml:space="preserve">   Success Fee Accrual</t>
        </is>
      </c>
      <c r="P9" s="11">
        <f>IF(AND(P$4&gt;=$M$6,P$4&lt;=$N$6),$I$6*$J$6*$C$6/$E$6,0)</f>
        <v/>
      </c>
      <c r="Q9" s="11">
        <f>IF(AND(Q$4&gt;=$M$6,Q$4&lt;=$N$6),$I$6*$J$6*$C$6/$E$6,0)</f>
        <v/>
      </c>
      <c r="R9" s="11">
        <f>IF(AND(R$4&gt;=$M$6,R$4&lt;=$N$6),$I$6*$J$6*$C$6/$E$6,0)</f>
        <v/>
      </c>
      <c r="S9" s="11">
        <f>IF(AND(S$4&gt;=$M$6,S$4&lt;=$N$6),$I$6*$J$6*$C$6/$E$6,0)</f>
        <v/>
      </c>
      <c r="T9" s="11">
        <f>IF(AND(T$4&gt;=$M$6,T$4&lt;=$N$6),$I$6*$J$6*$C$6/$E$6,0)</f>
        <v/>
      </c>
      <c r="U9" s="11">
        <f>IF(AND(U$4&gt;=$M$6,U$4&lt;=$N$6),$I$6*$J$6*$C$6/$E$6,0)</f>
        <v/>
      </c>
      <c r="V9" s="11">
        <f>IF(AND(V$4&gt;=$M$6,V$4&lt;=$N$6),$I$6*$J$6*$C$6/$E$6,0)</f>
        <v/>
      </c>
      <c r="W9" s="11">
        <f>IF(AND(W$4&gt;=$M$6,W$4&lt;=$N$6),$I$6*$J$6*$C$6/$E$6,0)</f>
        <v/>
      </c>
      <c r="X9" s="11">
        <f>IF(AND(X$4&gt;=$M$6,X$4&lt;=$N$6),$I$6*$J$6*$C$6/$E$6,0)</f>
        <v/>
      </c>
      <c r="Y9" s="11">
        <f>IF(AND(Y$4&gt;=$M$6,Y$4&lt;=$N$6),$I$6*$J$6*$C$6/$E$6,0)</f>
        <v/>
      </c>
      <c r="Z9" s="11">
        <f>IF(AND(Z$4&gt;=$M$6,Z$4&lt;=$N$6),$I$6*$J$6*$C$6/$E$6,0)</f>
        <v/>
      </c>
      <c r="AA9" s="11">
        <f>IF(AND(AA$4&gt;=$M$6,AA$4&lt;=$N$6),$I$6*$J$6*$C$6/$E$6,0)</f>
        <v/>
      </c>
      <c r="AB9" s="11">
        <f>IF(AND(AB$4&gt;=$M$6,AB$4&lt;=$N$6),$I$6*$J$6*$C$6/$E$6,0)</f>
        <v/>
      </c>
      <c r="AC9" s="11">
        <f>IF(AND(AC$4&gt;=$M$6,AC$4&lt;=$N$6),$I$6*$J$6*$C$6/$E$6,0)</f>
        <v/>
      </c>
      <c r="AD9" s="11">
        <f>IF(AND(AD$4&gt;=$M$6,AD$4&lt;=$N$6),$I$6*$J$6*$C$6/$E$6,0)</f>
        <v/>
      </c>
      <c r="AE9" s="11">
        <f>IF(AND(AE$4&gt;=$M$6,AE$4&lt;=$N$6),$I$6*$J$6*$C$6/$E$6,0)</f>
        <v/>
      </c>
      <c r="AF9" s="11">
        <f>IF(AND(AF$4&gt;=$M$6,AF$4&lt;=$N$6),$I$6*$J$6*$C$6/$E$6,0)</f>
        <v/>
      </c>
      <c r="AG9" s="11">
        <f>IF(AND(AG$4&gt;=$M$6,AG$4&lt;=$N$6),$I$6*$J$6*$C$6/$E$6,0)</f>
        <v/>
      </c>
      <c r="AH9" s="11">
        <f>IF(AND(AH$4&gt;=$M$6,AH$4&lt;=$N$6),$I$6*$J$6*$C$6/$E$6,0)</f>
        <v/>
      </c>
      <c r="AI9" s="11">
        <f>IF(AND(AI$4&gt;=$M$6,AI$4&lt;=$N$6),$I$6*$J$6*$C$6/$E$6,0)</f>
        <v/>
      </c>
      <c r="AJ9" s="11">
        <f>IF(AND(AJ$4&gt;=$M$6,AJ$4&lt;=$N$6),$I$6*$J$6*$C$6/$E$6,0)</f>
        <v/>
      </c>
      <c r="AK9" s="11">
        <f>IF(AND(AK$4&gt;=$M$6,AK$4&lt;=$N$6),$I$6*$J$6*$C$6/$E$6,0)</f>
        <v/>
      </c>
      <c r="AL9" s="11">
        <f>IF(AND(AL$4&gt;=$M$6,AL$4&lt;=$N$6),$I$6*$J$6*$C$6/$E$6,0)</f>
        <v/>
      </c>
      <c r="AM9" s="11">
        <f>IF(AND(AM$4&gt;=$M$6,AM$4&lt;=$N$6),$I$6*$J$6*$C$6/$E$6,0)</f>
        <v/>
      </c>
    </row>
    <row r="10">
      <c r="A10" s="26" t="inlineStr">
        <is>
          <t xml:space="preserve">   Success Fee Cash</t>
        </is>
      </c>
      <c r="P10" s="11">
        <f>IF(AND(P$4-$K$6&gt;=$M$6,P$4-$K$6&lt;=$N$6),$I$6*$J$6*$C$6/$E$6,0)</f>
        <v/>
      </c>
      <c r="Q10" s="11">
        <f>IF(AND(Q$4-$K$6&gt;=$M$6,Q$4-$K$6&lt;=$N$6),$I$6*$J$6*$C$6/$E$6,0)</f>
        <v/>
      </c>
      <c r="R10" s="11">
        <f>IF(AND(R$4-$K$6&gt;=$M$6,R$4-$K$6&lt;=$N$6),$I$6*$J$6*$C$6/$E$6,0)</f>
        <v/>
      </c>
      <c r="S10" s="11">
        <f>IF(AND(S$4-$K$6&gt;=$M$6,S$4-$K$6&lt;=$N$6),$I$6*$J$6*$C$6/$E$6,0)</f>
        <v/>
      </c>
      <c r="T10" s="11">
        <f>IF(AND(T$4-$K$6&gt;=$M$6,T$4-$K$6&lt;=$N$6),$I$6*$J$6*$C$6/$E$6,0)</f>
        <v/>
      </c>
      <c r="U10" s="11">
        <f>IF(AND(U$4-$K$6&gt;=$M$6,U$4-$K$6&lt;=$N$6),$I$6*$J$6*$C$6/$E$6,0)</f>
        <v/>
      </c>
      <c r="V10" s="11">
        <f>IF(AND(V$4-$K$6&gt;=$M$6,V$4-$K$6&lt;=$N$6),$I$6*$J$6*$C$6/$E$6,0)</f>
        <v/>
      </c>
      <c r="W10" s="11">
        <f>IF(AND(W$4-$K$6&gt;=$M$6,W$4-$K$6&lt;=$N$6),$I$6*$J$6*$C$6/$E$6,0)</f>
        <v/>
      </c>
      <c r="X10" s="11">
        <f>IF(AND(X$4-$K$6&gt;=$M$6,X$4-$K$6&lt;=$N$6),$I$6*$J$6*$C$6/$E$6,0)</f>
        <v/>
      </c>
      <c r="Y10" s="11">
        <f>IF(AND(Y$4-$K$6&gt;=$M$6,Y$4-$K$6&lt;=$N$6),$I$6*$J$6*$C$6/$E$6,0)</f>
        <v/>
      </c>
      <c r="Z10" s="11">
        <f>IF(AND(Z$4-$K$6&gt;=$M$6,Z$4-$K$6&lt;=$N$6),$I$6*$J$6*$C$6/$E$6,0)</f>
        <v/>
      </c>
      <c r="AA10" s="11">
        <f>IF(AND(AA$4-$K$6&gt;=$M$6,AA$4-$K$6&lt;=$N$6),$I$6*$J$6*$C$6/$E$6,0)</f>
        <v/>
      </c>
      <c r="AB10" s="11">
        <f>IF(AND(AB$4-$K$6&gt;=$M$6,AB$4-$K$6&lt;=$N$6),$I$6*$J$6*$C$6/$E$6,0)</f>
        <v/>
      </c>
      <c r="AC10" s="11">
        <f>IF(AND(AC$4-$K$6&gt;=$M$6,AC$4-$K$6&lt;=$N$6),$I$6*$J$6*$C$6/$E$6,0)</f>
        <v/>
      </c>
      <c r="AD10" s="11">
        <f>IF(AND(AD$4-$K$6&gt;=$M$6,AD$4-$K$6&lt;=$N$6),$I$6*$J$6*$C$6/$E$6,0)</f>
        <v/>
      </c>
      <c r="AE10" s="11">
        <f>IF(AND(AE$4-$K$6&gt;=$M$6,AE$4-$K$6&lt;=$N$6),$I$6*$J$6*$C$6/$E$6,0)</f>
        <v/>
      </c>
      <c r="AF10" s="11">
        <f>IF(AND(AF$4-$K$6&gt;=$M$6,AF$4-$K$6&lt;=$N$6),$I$6*$J$6*$C$6/$E$6,0)</f>
        <v/>
      </c>
      <c r="AG10" s="11">
        <f>IF(AND(AG$4-$K$6&gt;=$M$6,AG$4-$K$6&lt;=$N$6),$I$6*$J$6*$C$6/$E$6,0)</f>
        <v/>
      </c>
      <c r="AH10" s="11">
        <f>IF(AND(AH$4-$K$6&gt;=$M$6,AH$4-$K$6&lt;=$N$6),$I$6*$J$6*$C$6/$E$6,0)</f>
        <v/>
      </c>
      <c r="AI10" s="11">
        <f>IF(AND(AI$4-$K$6&gt;=$M$6,AI$4-$K$6&lt;=$N$6),$I$6*$J$6*$C$6/$E$6,0)</f>
        <v/>
      </c>
      <c r="AJ10" s="11">
        <f>IF(AND(AJ$4-$K$6&gt;=$M$6,AJ$4-$K$6&lt;=$N$6),$I$6*$J$6*$C$6/$E$6,0)</f>
        <v/>
      </c>
      <c r="AK10" s="11">
        <f>IF(AND(AK$4-$K$6&gt;=$M$6,AK$4-$K$6&lt;=$N$6),$I$6*$J$6*$C$6/$E$6,0)</f>
        <v/>
      </c>
      <c r="AL10" s="11">
        <f>IF(AND(AL$4-$K$6&gt;=$M$6,AL$4-$K$6&lt;=$N$6),$I$6*$J$6*$C$6/$E$6,0)</f>
        <v/>
      </c>
      <c r="AM10" s="11">
        <f>IF(AND(AM$4-$K$6&gt;=$M$6,AM$4-$K$6&lt;=$N$6),$I$6*$J$6*$C$6/$E$6,0)</f>
        <v/>
      </c>
    </row>
    <row r="12">
      <c r="A12" s="22" t="inlineStr">
        <is>
          <t>Rippling</t>
        </is>
      </c>
      <c r="B12" s="23" t="inlineStr">
        <is>
          <t>Signed</t>
        </is>
      </c>
      <c r="C12" s="5" t="n">
        <v>1</v>
      </c>
      <c r="D12" s="4" t="n">
        <v>36000</v>
      </c>
      <c r="E12" s="6" t="n">
        <v>9</v>
      </c>
      <c r="F12" s="24" t="n">
        <v>46082</v>
      </c>
      <c r="G12" s="23" t="inlineStr">
        <is>
          <t>Month After Signing</t>
        </is>
      </c>
      <c r="H12" s="23" t="inlineStr">
        <is>
          <t>Spread Monthly (=Accrual)</t>
        </is>
      </c>
      <c r="I12" s="4" t="n">
        <v>3500</v>
      </c>
      <c r="J12" s="6" t="n">
        <v>4</v>
      </c>
      <c r="K12" s="6" t="n">
        <v>2</v>
      </c>
      <c r="L12" s="25">
        <f>YEAR(F12)*12+MONTH(F12)</f>
        <v/>
      </c>
      <c r="M12" s="25">
        <f>L12+IF(G12="Month After Signing",1,0)</f>
        <v/>
      </c>
      <c r="N12" s="25">
        <f>M12+E12-1</f>
        <v/>
      </c>
    </row>
    <row r="13">
      <c r="A13" s="26" t="inlineStr">
        <is>
          <t xml:space="preserve">   Contract Accrual</t>
        </is>
      </c>
      <c r="P13" s="11">
        <f>IF(AND(P$4&gt;=$M$12,P$4&lt;=$N$12),$D$12/$E$12*$C$12,0)</f>
        <v/>
      </c>
      <c r="Q13" s="11">
        <f>IF(AND(Q$4&gt;=$M$12,Q$4&lt;=$N$12),$D$12/$E$12*$C$12,0)</f>
        <v/>
      </c>
      <c r="R13" s="11">
        <f>IF(AND(R$4&gt;=$M$12,R$4&lt;=$N$12),$D$12/$E$12*$C$12,0)</f>
        <v/>
      </c>
      <c r="S13" s="11">
        <f>IF(AND(S$4&gt;=$M$12,S$4&lt;=$N$12),$D$12/$E$12*$C$12,0)</f>
        <v/>
      </c>
      <c r="T13" s="11">
        <f>IF(AND(T$4&gt;=$M$12,T$4&lt;=$N$12),$D$12/$E$12*$C$12,0)</f>
        <v/>
      </c>
      <c r="U13" s="11">
        <f>IF(AND(U$4&gt;=$M$12,U$4&lt;=$N$12),$D$12/$E$12*$C$12,0)</f>
        <v/>
      </c>
      <c r="V13" s="11">
        <f>IF(AND(V$4&gt;=$M$12,V$4&lt;=$N$12),$D$12/$E$12*$C$12,0)</f>
        <v/>
      </c>
      <c r="W13" s="11">
        <f>IF(AND(W$4&gt;=$M$12,W$4&lt;=$N$12),$D$12/$E$12*$C$12,0)</f>
        <v/>
      </c>
      <c r="X13" s="11">
        <f>IF(AND(X$4&gt;=$M$12,X$4&lt;=$N$12),$D$12/$E$12*$C$12,0)</f>
        <v/>
      </c>
      <c r="Y13" s="11">
        <f>IF(AND(Y$4&gt;=$M$12,Y$4&lt;=$N$12),$D$12/$E$12*$C$12,0)</f>
        <v/>
      </c>
      <c r="Z13" s="11">
        <f>IF(AND(Z$4&gt;=$M$12,Z$4&lt;=$N$12),$D$12/$E$12*$C$12,0)</f>
        <v/>
      </c>
      <c r="AA13" s="11">
        <f>IF(AND(AA$4&gt;=$M$12,AA$4&lt;=$N$12),$D$12/$E$12*$C$12,0)</f>
        <v/>
      </c>
      <c r="AB13" s="11">
        <f>IF(AND(AB$4&gt;=$M$12,AB$4&lt;=$N$12),$D$12/$E$12*$C$12,0)</f>
        <v/>
      </c>
      <c r="AC13" s="11">
        <f>IF(AND(AC$4&gt;=$M$12,AC$4&lt;=$N$12),$D$12/$E$12*$C$12,0)</f>
        <v/>
      </c>
      <c r="AD13" s="11">
        <f>IF(AND(AD$4&gt;=$M$12,AD$4&lt;=$N$12),$D$12/$E$12*$C$12,0)</f>
        <v/>
      </c>
      <c r="AE13" s="11">
        <f>IF(AND(AE$4&gt;=$M$12,AE$4&lt;=$N$12),$D$12/$E$12*$C$12,0)</f>
        <v/>
      </c>
      <c r="AF13" s="11">
        <f>IF(AND(AF$4&gt;=$M$12,AF$4&lt;=$N$12),$D$12/$E$12*$C$12,0)</f>
        <v/>
      </c>
      <c r="AG13" s="11">
        <f>IF(AND(AG$4&gt;=$M$12,AG$4&lt;=$N$12),$D$12/$E$12*$C$12,0)</f>
        <v/>
      </c>
      <c r="AH13" s="11">
        <f>IF(AND(AH$4&gt;=$M$12,AH$4&lt;=$N$12),$D$12/$E$12*$C$12,0)</f>
        <v/>
      </c>
      <c r="AI13" s="11">
        <f>IF(AND(AI$4&gt;=$M$12,AI$4&lt;=$N$12),$D$12/$E$12*$C$12,0)</f>
        <v/>
      </c>
      <c r="AJ13" s="11">
        <f>IF(AND(AJ$4&gt;=$M$12,AJ$4&lt;=$N$12),$D$12/$E$12*$C$12,0)</f>
        <v/>
      </c>
      <c r="AK13" s="11">
        <f>IF(AND(AK$4&gt;=$M$12,AK$4&lt;=$N$12),$D$12/$E$12*$C$12,0)</f>
        <v/>
      </c>
      <c r="AL13" s="11">
        <f>IF(AND(AL$4&gt;=$M$12,AL$4&lt;=$N$12),$D$12/$E$12*$C$12,0)</f>
        <v/>
      </c>
      <c r="AM13" s="11">
        <f>IF(AND(AM$4&gt;=$M$12,AM$4&lt;=$N$12),$D$12/$E$12*$C$12,0)</f>
        <v/>
      </c>
    </row>
    <row r="14">
      <c r="A14" s="26" t="inlineStr">
        <is>
          <t xml:space="preserve">   Contract Cash</t>
        </is>
      </c>
      <c r="P14" s="11">
        <f>IF($H$12="Lump Sum at Signing",IF(P$4=$L$12,$D$12*$C$12,0),IF(AND(P$4&gt;=$M$12,P$4&lt;=$N$12),$D$12/$E$12*$C$12,0))</f>
        <v/>
      </c>
      <c r="Q14" s="11">
        <f>IF($H$12="Lump Sum at Signing",IF(Q$4=$L$12,$D$12*$C$12,0),IF(AND(Q$4&gt;=$M$12,Q$4&lt;=$N$12),$D$12/$E$12*$C$12,0))</f>
        <v/>
      </c>
      <c r="R14" s="11">
        <f>IF($H$12="Lump Sum at Signing",IF(R$4=$L$12,$D$12*$C$12,0),IF(AND(R$4&gt;=$M$12,R$4&lt;=$N$12),$D$12/$E$12*$C$12,0))</f>
        <v/>
      </c>
      <c r="S14" s="11">
        <f>IF($H$12="Lump Sum at Signing",IF(S$4=$L$12,$D$12*$C$12,0),IF(AND(S$4&gt;=$M$12,S$4&lt;=$N$12),$D$12/$E$12*$C$12,0))</f>
        <v/>
      </c>
      <c r="T14" s="11">
        <f>IF($H$12="Lump Sum at Signing",IF(T$4=$L$12,$D$12*$C$12,0),IF(AND(T$4&gt;=$M$12,T$4&lt;=$N$12),$D$12/$E$12*$C$12,0))</f>
        <v/>
      </c>
      <c r="U14" s="11">
        <f>IF($H$12="Lump Sum at Signing",IF(U$4=$L$12,$D$12*$C$12,0),IF(AND(U$4&gt;=$M$12,U$4&lt;=$N$12),$D$12/$E$12*$C$12,0))</f>
        <v/>
      </c>
      <c r="V14" s="11">
        <f>IF($H$12="Lump Sum at Signing",IF(V$4=$L$12,$D$12*$C$12,0),IF(AND(V$4&gt;=$M$12,V$4&lt;=$N$12),$D$12/$E$12*$C$12,0))</f>
        <v/>
      </c>
      <c r="W14" s="11">
        <f>IF($H$12="Lump Sum at Signing",IF(W$4=$L$12,$D$12*$C$12,0),IF(AND(W$4&gt;=$M$12,W$4&lt;=$N$12),$D$12/$E$12*$C$12,0))</f>
        <v/>
      </c>
      <c r="X14" s="11">
        <f>IF($H$12="Lump Sum at Signing",IF(X$4=$L$12,$D$12*$C$12,0),IF(AND(X$4&gt;=$M$12,X$4&lt;=$N$12),$D$12/$E$12*$C$12,0))</f>
        <v/>
      </c>
      <c r="Y14" s="11">
        <f>IF($H$12="Lump Sum at Signing",IF(Y$4=$L$12,$D$12*$C$12,0),IF(AND(Y$4&gt;=$M$12,Y$4&lt;=$N$12),$D$12/$E$12*$C$12,0))</f>
        <v/>
      </c>
      <c r="Z14" s="11">
        <f>IF($H$12="Lump Sum at Signing",IF(Z$4=$L$12,$D$12*$C$12,0),IF(AND(Z$4&gt;=$M$12,Z$4&lt;=$N$12),$D$12/$E$12*$C$12,0))</f>
        <v/>
      </c>
      <c r="AA14" s="11">
        <f>IF($H$12="Lump Sum at Signing",IF(AA$4=$L$12,$D$12*$C$12,0),IF(AND(AA$4&gt;=$M$12,AA$4&lt;=$N$12),$D$12/$E$12*$C$12,0))</f>
        <v/>
      </c>
      <c r="AB14" s="11">
        <f>IF($H$12="Lump Sum at Signing",IF(AB$4=$L$12,$D$12*$C$12,0),IF(AND(AB$4&gt;=$M$12,AB$4&lt;=$N$12),$D$12/$E$12*$C$12,0))</f>
        <v/>
      </c>
      <c r="AC14" s="11">
        <f>IF($H$12="Lump Sum at Signing",IF(AC$4=$L$12,$D$12*$C$12,0),IF(AND(AC$4&gt;=$M$12,AC$4&lt;=$N$12),$D$12/$E$12*$C$12,0))</f>
        <v/>
      </c>
      <c r="AD14" s="11">
        <f>IF($H$12="Lump Sum at Signing",IF(AD$4=$L$12,$D$12*$C$12,0),IF(AND(AD$4&gt;=$M$12,AD$4&lt;=$N$12),$D$12/$E$12*$C$12,0))</f>
        <v/>
      </c>
      <c r="AE14" s="11">
        <f>IF($H$12="Lump Sum at Signing",IF(AE$4=$L$12,$D$12*$C$12,0),IF(AND(AE$4&gt;=$M$12,AE$4&lt;=$N$12),$D$12/$E$12*$C$12,0))</f>
        <v/>
      </c>
      <c r="AF14" s="11">
        <f>IF($H$12="Lump Sum at Signing",IF(AF$4=$L$12,$D$12*$C$12,0),IF(AND(AF$4&gt;=$M$12,AF$4&lt;=$N$12),$D$12/$E$12*$C$12,0))</f>
        <v/>
      </c>
      <c r="AG14" s="11">
        <f>IF($H$12="Lump Sum at Signing",IF(AG$4=$L$12,$D$12*$C$12,0),IF(AND(AG$4&gt;=$M$12,AG$4&lt;=$N$12),$D$12/$E$12*$C$12,0))</f>
        <v/>
      </c>
      <c r="AH14" s="11">
        <f>IF($H$12="Lump Sum at Signing",IF(AH$4=$L$12,$D$12*$C$12,0),IF(AND(AH$4&gt;=$M$12,AH$4&lt;=$N$12),$D$12/$E$12*$C$12,0))</f>
        <v/>
      </c>
      <c r="AI14" s="11">
        <f>IF($H$12="Lump Sum at Signing",IF(AI$4=$L$12,$D$12*$C$12,0),IF(AND(AI$4&gt;=$M$12,AI$4&lt;=$N$12),$D$12/$E$12*$C$12,0))</f>
        <v/>
      </c>
      <c r="AJ14" s="11">
        <f>IF($H$12="Lump Sum at Signing",IF(AJ$4=$L$12,$D$12*$C$12,0),IF(AND(AJ$4&gt;=$M$12,AJ$4&lt;=$N$12),$D$12/$E$12*$C$12,0))</f>
        <v/>
      </c>
      <c r="AK14" s="11">
        <f>IF($H$12="Lump Sum at Signing",IF(AK$4=$L$12,$D$12*$C$12,0),IF(AND(AK$4&gt;=$M$12,AK$4&lt;=$N$12),$D$12/$E$12*$C$12,0))</f>
        <v/>
      </c>
      <c r="AL14" s="11">
        <f>IF($H$12="Lump Sum at Signing",IF(AL$4=$L$12,$D$12*$C$12,0),IF(AND(AL$4&gt;=$M$12,AL$4&lt;=$N$12),$D$12/$E$12*$C$12,0))</f>
        <v/>
      </c>
      <c r="AM14" s="11">
        <f>IF($H$12="Lump Sum at Signing",IF(AM$4=$L$12,$D$12*$C$12,0),IF(AND(AM$4&gt;=$M$12,AM$4&lt;=$N$12),$D$12/$E$12*$C$12,0))</f>
        <v/>
      </c>
    </row>
    <row r="15">
      <c r="A15" s="26" t="inlineStr">
        <is>
          <t xml:space="preserve">   Success Fee Accrual</t>
        </is>
      </c>
      <c r="P15" s="11">
        <f>IF(AND(P$4&gt;=$M$12,P$4&lt;=$N$12),$I$12*$J$12*$C$12/$E$12,0)</f>
        <v/>
      </c>
      <c r="Q15" s="11">
        <f>IF(AND(Q$4&gt;=$M$12,Q$4&lt;=$N$12),$I$12*$J$12*$C$12/$E$12,0)</f>
        <v/>
      </c>
      <c r="R15" s="11">
        <f>IF(AND(R$4&gt;=$M$12,R$4&lt;=$N$12),$I$12*$J$12*$C$12/$E$12,0)</f>
        <v/>
      </c>
      <c r="S15" s="11">
        <f>IF(AND(S$4&gt;=$M$12,S$4&lt;=$N$12),$I$12*$J$12*$C$12/$E$12,0)</f>
        <v/>
      </c>
      <c r="T15" s="11">
        <f>IF(AND(T$4&gt;=$M$12,T$4&lt;=$N$12),$I$12*$J$12*$C$12/$E$12,0)</f>
        <v/>
      </c>
      <c r="U15" s="11">
        <f>IF(AND(U$4&gt;=$M$12,U$4&lt;=$N$12),$I$12*$J$12*$C$12/$E$12,0)</f>
        <v/>
      </c>
      <c r="V15" s="11">
        <f>IF(AND(V$4&gt;=$M$12,V$4&lt;=$N$12),$I$12*$J$12*$C$12/$E$12,0)</f>
        <v/>
      </c>
      <c r="W15" s="11">
        <f>IF(AND(W$4&gt;=$M$12,W$4&lt;=$N$12),$I$12*$J$12*$C$12/$E$12,0)</f>
        <v/>
      </c>
      <c r="X15" s="11">
        <f>IF(AND(X$4&gt;=$M$12,X$4&lt;=$N$12),$I$12*$J$12*$C$12/$E$12,0)</f>
        <v/>
      </c>
      <c r="Y15" s="11">
        <f>IF(AND(Y$4&gt;=$M$12,Y$4&lt;=$N$12),$I$12*$J$12*$C$12/$E$12,0)</f>
        <v/>
      </c>
      <c r="Z15" s="11">
        <f>IF(AND(Z$4&gt;=$M$12,Z$4&lt;=$N$12),$I$12*$J$12*$C$12/$E$12,0)</f>
        <v/>
      </c>
      <c r="AA15" s="11">
        <f>IF(AND(AA$4&gt;=$M$12,AA$4&lt;=$N$12),$I$12*$J$12*$C$12/$E$12,0)</f>
        <v/>
      </c>
      <c r="AB15" s="11">
        <f>IF(AND(AB$4&gt;=$M$12,AB$4&lt;=$N$12),$I$12*$J$12*$C$12/$E$12,0)</f>
        <v/>
      </c>
      <c r="AC15" s="11">
        <f>IF(AND(AC$4&gt;=$M$12,AC$4&lt;=$N$12),$I$12*$J$12*$C$12/$E$12,0)</f>
        <v/>
      </c>
      <c r="AD15" s="11">
        <f>IF(AND(AD$4&gt;=$M$12,AD$4&lt;=$N$12),$I$12*$J$12*$C$12/$E$12,0)</f>
        <v/>
      </c>
      <c r="AE15" s="11">
        <f>IF(AND(AE$4&gt;=$M$12,AE$4&lt;=$N$12),$I$12*$J$12*$C$12/$E$12,0)</f>
        <v/>
      </c>
      <c r="AF15" s="11">
        <f>IF(AND(AF$4&gt;=$M$12,AF$4&lt;=$N$12),$I$12*$J$12*$C$12/$E$12,0)</f>
        <v/>
      </c>
      <c r="AG15" s="11">
        <f>IF(AND(AG$4&gt;=$M$12,AG$4&lt;=$N$12),$I$12*$J$12*$C$12/$E$12,0)</f>
        <v/>
      </c>
      <c r="AH15" s="11">
        <f>IF(AND(AH$4&gt;=$M$12,AH$4&lt;=$N$12),$I$12*$J$12*$C$12/$E$12,0)</f>
        <v/>
      </c>
      <c r="AI15" s="11">
        <f>IF(AND(AI$4&gt;=$M$12,AI$4&lt;=$N$12),$I$12*$J$12*$C$12/$E$12,0)</f>
        <v/>
      </c>
      <c r="AJ15" s="11">
        <f>IF(AND(AJ$4&gt;=$M$12,AJ$4&lt;=$N$12),$I$12*$J$12*$C$12/$E$12,0)</f>
        <v/>
      </c>
      <c r="AK15" s="11">
        <f>IF(AND(AK$4&gt;=$M$12,AK$4&lt;=$N$12),$I$12*$J$12*$C$12/$E$12,0)</f>
        <v/>
      </c>
      <c r="AL15" s="11">
        <f>IF(AND(AL$4&gt;=$M$12,AL$4&lt;=$N$12),$I$12*$J$12*$C$12/$E$12,0)</f>
        <v/>
      </c>
      <c r="AM15" s="11">
        <f>IF(AND(AM$4&gt;=$M$12,AM$4&lt;=$N$12),$I$12*$J$12*$C$12/$E$12,0)</f>
        <v/>
      </c>
    </row>
    <row r="16">
      <c r="A16" s="26" t="inlineStr">
        <is>
          <t xml:space="preserve">   Success Fee Cash</t>
        </is>
      </c>
      <c r="P16" s="11">
        <f>IF(AND(P$4-$K$12&gt;=$M$12,P$4-$K$12&lt;=$N$12),$I$12*$J$12*$C$12/$E$12,0)</f>
        <v/>
      </c>
      <c r="Q16" s="11">
        <f>IF(AND(Q$4-$K$12&gt;=$M$12,Q$4-$K$12&lt;=$N$12),$I$12*$J$12*$C$12/$E$12,0)</f>
        <v/>
      </c>
      <c r="R16" s="11">
        <f>IF(AND(R$4-$K$12&gt;=$M$12,R$4-$K$12&lt;=$N$12),$I$12*$J$12*$C$12/$E$12,0)</f>
        <v/>
      </c>
      <c r="S16" s="11">
        <f>IF(AND(S$4-$K$12&gt;=$M$12,S$4-$K$12&lt;=$N$12),$I$12*$J$12*$C$12/$E$12,0)</f>
        <v/>
      </c>
      <c r="T16" s="11">
        <f>IF(AND(T$4-$K$12&gt;=$M$12,T$4-$K$12&lt;=$N$12),$I$12*$J$12*$C$12/$E$12,0)</f>
        <v/>
      </c>
      <c r="U16" s="11">
        <f>IF(AND(U$4-$K$12&gt;=$M$12,U$4-$K$12&lt;=$N$12),$I$12*$J$12*$C$12/$E$12,0)</f>
        <v/>
      </c>
      <c r="V16" s="11">
        <f>IF(AND(V$4-$K$12&gt;=$M$12,V$4-$K$12&lt;=$N$12),$I$12*$J$12*$C$12/$E$12,0)</f>
        <v/>
      </c>
      <c r="W16" s="11">
        <f>IF(AND(W$4-$K$12&gt;=$M$12,W$4-$K$12&lt;=$N$12),$I$12*$J$12*$C$12/$E$12,0)</f>
        <v/>
      </c>
      <c r="X16" s="11">
        <f>IF(AND(X$4-$K$12&gt;=$M$12,X$4-$K$12&lt;=$N$12),$I$12*$J$12*$C$12/$E$12,0)</f>
        <v/>
      </c>
      <c r="Y16" s="11">
        <f>IF(AND(Y$4-$K$12&gt;=$M$12,Y$4-$K$12&lt;=$N$12),$I$12*$J$12*$C$12/$E$12,0)</f>
        <v/>
      </c>
      <c r="Z16" s="11">
        <f>IF(AND(Z$4-$K$12&gt;=$M$12,Z$4-$K$12&lt;=$N$12),$I$12*$J$12*$C$12/$E$12,0)</f>
        <v/>
      </c>
      <c r="AA16" s="11">
        <f>IF(AND(AA$4-$K$12&gt;=$M$12,AA$4-$K$12&lt;=$N$12),$I$12*$J$12*$C$12/$E$12,0)</f>
        <v/>
      </c>
      <c r="AB16" s="11">
        <f>IF(AND(AB$4-$K$12&gt;=$M$12,AB$4-$K$12&lt;=$N$12),$I$12*$J$12*$C$12/$E$12,0)</f>
        <v/>
      </c>
      <c r="AC16" s="11">
        <f>IF(AND(AC$4-$K$12&gt;=$M$12,AC$4-$K$12&lt;=$N$12),$I$12*$J$12*$C$12/$E$12,0)</f>
        <v/>
      </c>
      <c r="AD16" s="11">
        <f>IF(AND(AD$4-$K$12&gt;=$M$12,AD$4-$K$12&lt;=$N$12),$I$12*$J$12*$C$12/$E$12,0)</f>
        <v/>
      </c>
      <c r="AE16" s="11">
        <f>IF(AND(AE$4-$K$12&gt;=$M$12,AE$4-$K$12&lt;=$N$12),$I$12*$J$12*$C$12/$E$12,0)</f>
        <v/>
      </c>
      <c r="AF16" s="11">
        <f>IF(AND(AF$4-$K$12&gt;=$M$12,AF$4-$K$12&lt;=$N$12),$I$12*$J$12*$C$12/$E$12,0)</f>
        <v/>
      </c>
      <c r="AG16" s="11">
        <f>IF(AND(AG$4-$K$12&gt;=$M$12,AG$4-$K$12&lt;=$N$12),$I$12*$J$12*$C$12/$E$12,0)</f>
        <v/>
      </c>
      <c r="AH16" s="11">
        <f>IF(AND(AH$4-$K$12&gt;=$M$12,AH$4-$K$12&lt;=$N$12),$I$12*$J$12*$C$12/$E$12,0)</f>
        <v/>
      </c>
      <c r="AI16" s="11">
        <f>IF(AND(AI$4-$K$12&gt;=$M$12,AI$4-$K$12&lt;=$N$12),$I$12*$J$12*$C$12/$E$12,0)</f>
        <v/>
      </c>
      <c r="AJ16" s="11">
        <f>IF(AND(AJ$4-$K$12&gt;=$M$12,AJ$4-$K$12&lt;=$N$12),$I$12*$J$12*$C$12/$E$12,0)</f>
        <v/>
      </c>
      <c r="AK16" s="11">
        <f>IF(AND(AK$4-$K$12&gt;=$M$12,AK$4-$K$12&lt;=$N$12),$I$12*$J$12*$C$12/$E$12,0)</f>
        <v/>
      </c>
      <c r="AL16" s="11">
        <f>IF(AND(AL$4-$K$12&gt;=$M$12,AL$4-$K$12&lt;=$N$12),$I$12*$J$12*$C$12/$E$12,0)</f>
        <v/>
      </c>
      <c r="AM16" s="11">
        <f>IF(AND(AM$4-$K$12&gt;=$M$12,AM$4-$K$12&lt;=$N$12),$I$12*$J$12*$C$12/$E$12,0)</f>
        <v/>
      </c>
    </row>
    <row r="18">
      <c r="A18" s="22" t="inlineStr">
        <is>
          <t>Datadog</t>
        </is>
      </c>
      <c r="B18" s="23" t="inlineStr">
        <is>
          <t>Signed</t>
        </is>
      </c>
      <c r="C18" s="5" t="n">
        <v>1</v>
      </c>
      <c r="D18" s="4" t="n">
        <v>48000</v>
      </c>
      <c r="E18" s="6" t="n">
        <v>6</v>
      </c>
      <c r="F18" s="24" t="n">
        <v>46054</v>
      </c>
      <c r="G18" s="23" t="inlineStr">
        <is>
          <t>Signing Month</t>
        </is>
      </c>
      <c r="H18" s="23" t="inlineStr">
        <is>
          <t>Lump Sum at Signing</t>
        </is>
      </c>
      <c r="I18" s="4" t="n">
        <v>0</v>
      </c>
      <c r="J18" s="6" t="n">
        <v>0</v>
      </c>
      <c r="K18" s="6" t="n">
        <v>0</v>
      </c>
      <c r="L18" s="25">
        <f>YEAR(F18)*12+MONTH(F18)</f>
        <v/>
      </c>
      <c r="M18" s="25">
        <f>L18+IF(G18="Month After Signing",1,0)</f>
        <v/>
      </c>
      <c r="N18" s="25">
        <f>M18+E18-1</f>
        <v/>
      </c>
    </row>
    <row r="19">
      <c r="A19" s="26" t="inlineStr">
        <is>
          <t xml:space="preserve">   Contract Accrual</t>
        </is>
      </c>
      <c r="P19" s="11">
        <f>IF(AND(P$4&gt;=$M$18,P$4&lt;=$N$18),$D$18/$E$18*$C$18,0)</f>
        <v/>
      </c>
      <c r="Q19" s="11">
        <f>IF(AND(Q$4&gt;=$M$18,Q$4&lt;=$N$18),$D$18/$E$18*$C$18,0)</f>
        <v/>
      </c>
      <c r="R19" s="11">
        <f>IF(AND(R$4&gt;=$M$18,R$4&lt;=$N$18),$D$18/$E$18*$C$18,0)</f>
        <v/>
      </c>
      <c r="S19" s="11">
        <f>IF(AND(S$4&gt;=$M$18,S$4&lt;=$N$18),$D$18/$E$18*$C$18,0)</f>
        <v/>
      </c>
      <c r="T19" s="11">
        <f>IF(AND(T$4&gt;=$M$18,T$4&lt;=$N$18),$D$18/$E$18*$C$18,0)</f>
        <v/>
      </c>
      <c r="U19" s="11">
        <f>IF(AND(U$4&gt;=$M$18,U$4&lt;=$N$18),$D$18/$E$18*$C$18,0)</f>
        <v/>
      </c>
      <c r="V19" s="11">
        <f>IF(AND(V$4&gt;=$M$18,V$4&lt;=$N$18),$D$18/$E$18*$C$18,0)</f>
        <v/>
      </c>
      <c r="W19" s="11">
        <f>IF(AND(W$4&gt;=$M$18,W$4&lt;=$N$18),$D$18/$E$18*$C$18,0)</f>
        <v/>
      </c>
      <c r="X19" s="11">
        <f>IF(AND(X$4&gt;=$M$18,X$4&lt;=$N$18),$D$18/$E$18*$C$18,0)</f>
        <v/>
      </c>
      <c r="Y19" s="11">
        <f>IF(AND(Y$4&gt;=$M$18,Y$4&lt;=$N$18),$D$18/$E$18*$C$18,0)</f>
        <v/>
      </c>
      <c r="Z19" s="11">
        <f>IF(AND(Z$4&gt;=$M$18,Z$4&lt;=$N$18),$D$18/$E$18*$C$18,0)</f>
        <v/>
      </c>
      <c r="AA19" s="11">
        <f>IF(AND(AA$4&gt;=$M$18,AA$4&lt;=$N$18),$D$18/$E$18*$C$18,0)</f>
        <v/>
      </c>
      <c r="AB19" s="11">
        <f>IF(AND(AB$4&gt;=$M$18,AB$4&lt;=$N$18),$D$18/$E$18*$C$18,0)</f>
        <v/>
      </c>
      <c r="AC19" s="11">
        <f>IF(AND(AC$4&gt;=$M$18,AC$4&lt;=$N$18),$D$18/$E$18*$C$18,0)</f>
        <v/>
      </c>
      <c r="AD19" s="11">
        <f>IF(AND(AD$4&gt;=$M$18,AD$4&lt;=$N$18),$D$18/$E$18*$C$18,0)</f>
        <v/>
      </c>
      <c r="AE19" s="11">
        <f>IF(AND(AE$4&gt;=$M$18,AE$4&lt;=$N$18),$D$18/$E$18*$C$18,0)</f>
        <v/>
      </c>
      <c r="AF19" s="11">
        <f>IF(AND(AF$4&gt;=$M$18,AF$4&lt;=$N$18),$D$18/$E$18*$C$18,0)</f>
        <v/>
      </c>
      <c r="AG19" s="11">
        <f>IF(AND(AG$4&gt;=$M$18,AG$4&lt;=$N$18),$D$18/$E$18*$C$18,0)</f>
        <v/>
      </c>
      <c r="AH19" s="11">
        <f>IF(AND(AH$4&gt;=$M$18,AH$4&lt;=$N$18),$D$18/$E$18*$C$18,0)</f>
        <v/>
      </c>
      <c r="AI19" s="11">
        <f>IF(AND(AI$4&gt;=$M$18,AI$4&lt;=$N$18),$D$18/$E$18*$C$18,0)</f>
        <v/>
      </c>
      <c r="AJ19" s="11">
        <f>IF(AND(AJ$4&gt;=$M$18,AJ$4&lt;=$N$18),$D$18/$E$18*$C$18,0)</f>
        <v/>
      </c>
      <c r="AK19" s="11">
        <f>IF(AND(AK$4&gt;=$M$18,AK$4&lt;=$N$18),$D$18/$E$18*$C$18,0)</f>
        <v/>
      </c>
      <c r="AL19" s="11">
        <f>IF(AND(AL$4&gt;=$M$18,AL$4&lt;=$N$18),$D$18/$E$18*$C$18,0)</f>
        <v/>
      </c>
      <c r="AM19" s="11">
        <f>IF(AND(AM$4&gt;=$M$18,AM$4&lt;=$N$18),$D$18/$E$18*$C$18,0)</f>
        <v/>
      </c>
    </row>
    <row r="20">
      <c r="A20" s="26" t="inlineStr">
        <is>
          <t xml:space="preserve">   Contract Cash</t>
        </is>
      </c>
      <c r="P20" s="11">
        <f>IF($H$18="Lump Sum at Signing",IF(P$4=$L$18,$D$18*$C$18,0),IF(AND(P$4&gt;=$M$18,P$4&lt;=$N$18),$D$18/$E$18*$C$18,0))</f>
        <v/>
      </c>
      <c r="Q20" s="11">
        <f>IF($H$18="Lump Sum at Signing",IF(Q$4=$L$18,$D$18*$C$18,0),IF(AND(Q$4&gt;=$M$18,Q$4&lt;=$N$18),$D$18/$E$18*$C$18,0))</f>
        <v/>
      </c>
      <c r="R20" s="11">
        <f>IF($H$18="Lump Sum at Signing",IF(R$4=$L$18,$D$18*$C$18,0),IF(AND(R$4&gt;=$M$18,R$4&lt;=$N$18),$D$18/$E$18*$C$18,0))</f>
        <v/>
      </c>
      <c r="S20" s="11">
        <f>IF($H$18="Lump Sum at Signing",IF(S$4=$L$18,$D$18*$C$18,0),IF(AND(S$4&gt;=$M$18,S$4&lt;=$N$18),$D$18/$E$18*$C$18,0))</f>
        <v/>
      </c>
      <c r="T20" s="11">
        <f>IF($H$18="Lump Sum at Signing",IF(T$4=$L$18,$D$18*$C$18,0),IF(AND(T$4&gt;=$M$18,T$4&lt;=$N$18),$D$18/$E$18*$C$18,0))</f>
        <v/>
      </c>
      <c r="U20" s="11">
        <f>IF($H$18="Lump Sum at Signing",IF(U$4=$L$18,$D$18*$C$18,0),IF(AND(U$4&gt;=$M$18,U$4&lt;=$N$18),$D$18/$E$18*$C$18,0))</f>
        <v/>
      </c>
      <c r="V20" s="11">
        <f>IF($H$18="Lump Sum at Signing",IF(V$4=$L$18,$D$18*$C$18,0),IF(AND(V$4&gt;=$M$18,V$4&lt;=$N$18),$D$18/$E$18*$C$18,0))</f>
        <v/>
      </c>
      <c r="W20" s="11">
        <f>IF($H$18="Lump Sum at Signing",IF(W$4=$L$18,$D$18*$C$18,0),IF(AND(W$4&gt;=$M$18,W$4&lt;=$N$18),$D$18/$E$18*$C$18,0))</f>
        <v/>
      </c>
      <c r="X20" s="11">
        <f>IF($H$18="Lump Sum at Signing",IF(X$4=$L$18,$D$18*$C$18,0),IF(AND(X$4&gt;=$M$18,X$4&lt;=$N$18),$D$18/$E$18*$C$18,0))</f>
        <v/>
      </c>
      <c r="Y20" s="11">
        <f>IF($H$18="Lump Sum at Signing",IF(Y$4=$L$18,$D$18*$C$18,0),IF(AND(Y$4&gt;=$M$18,Y$4&lt;=$N$18),$D$18/$E$18*$C$18,0))</f>
        <v/>
      </c>
      <c r="Z20" s="11">
        <f>IF($H$18="Lump Sum at Signing",IF(Z$4=$L$18,$D$18*$C$18,0),IF(AND(Z$4&gt;=$M$18,Z$4&lt;=$N$18),$D$18/$E$18*$C$18,0))</f>
        <v/>
      </c>
      <c r="AA20" s="11">
        <f>IF($H$18="Lump Sum at Signing",IF(AA$4=$L$18,$D$18*$C$18,0),IF(AND(AA$4&gt;=$M$18,AA$4&lt;=$N$18),$D$18/$E$18*$C$18,0))</f>
        <v/>
      </c>
      <c r="AB20" s="11">
        <f>IF($H$18="Lump Sum at Signing",IF(AB$4=$L$18,$D$18*$C$18,0),IF(AND(AB$4&gt;=$M$18,AB$4&lt;=$N$18),$D$18/$E$18*$C$18,0))</f>
        <v/>
      </c>
      <c r="AC20" s="11">
        <f>IF($H$18="Lump Sum at Signing",IF(AC$4=$L$18,$D$18*$C$18,0),IF(AND(AC$4&gt;=$M$18,AC$4&lt;=$N$18),$D$18/$E$18*$C$18,0))</f>
        <v/>
      </c>
      <c r="AD20" s="11">
        <f>IF($H$18="Lump Sum at Signing",IF(AD$4=$L$18,$D$18*$C$18,0),IF(AND(AD$4&gt;=$M$18,AD$4&lt;=$N$18),$D$18/$E$18*$C$18,0))</f>
        <v/>
      </c>
      <c r="AE20" s="11">
        <f>IF($H$18="Lump Sum at Signing",IF(AE$4=$L$18,$D$18*$C$18,0),IF(AND(AE$4&gt;=$M$18,AE$4&lt;=$N$18),$D$18/$E$18*$C$18,0))</f>
        <v/>
      </c>
      <c r="AF20" s="11">
        <f>IF($H$18="Lump Sum at Signing",IF(AF$4=$L$18,$D$18*$C$18,0),IF(AND(AF$4&gt;=$M$18,AF$4&lt;=$N$18),$D$18/$E$18*$C$18,0))</f>
        <v/>
      </c>
      <c r="AG20" s="11">
        <f>IF($H$18="Lump Sum at Signing",IF(AG$4=$L$18,$D$18*$C$18,0),IF(AND(AG$4&gt;=$M$18,AG$4&lt;=$N$18),$D$18/$E$18*$C$18,0))</f>
        <v/>
      </c>
      <c r="AH20" s="11">
        <f>IF($H$18="Lump Sum at Signing",IF(AH$4=$L$18,$D$18*$C$18,0),IF(AND(AH$4&gt;=$M$18,AH$4&lt;=$N$18),$D$18/$E$18*$C$18,0))</f>
        <v/>
      </c>
      <c r="AI20" s="11">
        <f>IF($H$18="Lump Sum at Signing",IF(AI$4=$L$18,$D$18*$C$18,0),IF(AND(AI$4&gt;=$M$18,AI$4&lt;=$N$18),$D$18/$E$18*$C$18,0))</f>
        <v/>
      </c>
      <c r="AJ20" s="11">
        <f>IF($H$18="Lump Sum at Signing",IF(AJ$4=$L$18,$D$18*$C$18,0),IF(AND(AJ$4&gt;=$M$18,AJ$4&lt;=$N$18),$D$18/$E$18*$C$18,0))</f>
        <v/>
      </c>
      <c r="AK20" s="11">
        <f>IF($H$18="Lump Sum at Signing",IF(AK$4=$L$18,$D$18*$C$18,0),IF(AND(AK$4&gt;=$M$18,AK$4&lt;=$N$18),$D$18/$E$18*$C$18,0))</f>
        <v/>
      </c>
      <c r="AL20" s="11">
        <f>IF($H$18="Lump Sum at Signing",IF(AL$4=$L$18,$D$18*$C$18,0),IF(AND(AL$4&gt;=$M$18,AL$4&lt;=$N$18),$D$18/$E$18*$C$18,0))</f>
        <v/>
      </c>
      <c r="AM20" s="11">
        <f>IF($H$18="Lump Sum at Signing",IF(AM$4=$L$18,$D$18*$C$18,0),IF(AND(AM$4&gt;=$M$18,AM$4&lt;=$N$18),$D$18/$E$18*$C$18,0))</f>
        <v/>
      </c>
    </row>
    <row r="21">
      <c r="A21" s="26" t="inlineStr">
        <is>
          <t xml:space="preserve">   Success Fee Accrual</t>
        </is>
      </c>
      <c r="P21" s="11">
        <f>IF(AND(P$4&gt;=$M$18,P$4&lt;=$N$18),$I$18*$J$18*$C$18/$E$18,0)</f>
        <v/>
      </c>
      <c r="Q21" s="11">
        <f>IF(AND(Q$4&gt;=$M$18,Q$4&lt;=$N$18),$I$18*$J$18*$C$18/$E$18,0)</f>
        <v/>
      </c>
      <c r="R21" s="11">
        <f>IF(AND(R$4&gt;=$M$18,R$4&lt;=$N$18),$I$18*$J$18*$C$18/$E$18,0)</f>
        <v/>
      </c>
      <c r="S21" s="11">
        <f>IF(AND(S$4&gt;=$M$18,S$4&lt;=$N$18),$I$18*$J$18*$C$18/$E$18,0)</f>
        <v/>
      </c>
      <c r="T21" s="11">
        <f>IF(AND(T$4&gt;=$M$18,T$4&lt;=$N$18),$I$18*$J$18*$C$18/$E$18,0)</f>
        <v/>
      </c>
      <c r="U21" s="11">
        <f>IF(AND(U$4&gt;=$M$18,U$4&lt;=$N$18),$I$18*$J$18*$C$18/$E$18,0)</f>
        <v/>
      </c>
      <c r="V21" s="11">
        <f>IF(AND(V$4&gt;=$M$18,V$4&lt;=$N$18),$I$18*$J$18*$C$18/$E$18,0)</f>
        <v/>
      </c>
      <c r="W21" s="11">
        <f>IF(AND(W$4&gt;=$M$18,W$4&lt;=$N$18),$I$18*$J$18*$C$18/$E$18,0)</f>
        <v/>
      </c>
      <c r="X21" s="11">
        <f>IF(AND(X$4&gt;=$M$18,X$4&lt;=$N$18),$I$18*$J$18*$C$18/$E$18,0)</f>
        <v/>
      </c>
      <c r="Y21" s="11">
        <f>IF(AND(Y$4&gt;=$M$18,Y$4&lt;=$N$18),$I$18*$J$18*$C$18/$E$18,0)</f>
        <v/>
      </c>
      <c r="Z21" s="11">
        <f>IF(AND(Z$4&gt;=$M$18,Z$4&lt;=$N$18),$I$18*$J$18*$C$18/$E$18,0)</f>
        <v/>
      </c>
      <c r="AA21" s="11">
        <f>IF(AND(AA$4&gt;=$M$18,AA$4&lt;=$N$18),$I$18*$J$18*$C$18/$E$18,0)</f>
        <v/>
      </c>
      <c r="AB21" s="11">
        <f>IF(AND(AB$4&gt;=$M$18,AB$4&lt;=$N$18),$I$18*$J$18*$C$18/$E$18,0)</f>
        <v/>
      </c>
      <c r="AC21" s="11">
        <f>IF(AND(AC$4&gt;=$M$18,AC$4&lt;=$N$18),$I$18*$J$18*$C$18/$E$18,0)</f>
        <v/>
      </c>
      <c r="AD21" s="11">
        <f>IF(AND(AD$4&gt;=$M$18,AD$4&lt;=$N$18),$I$18*$J$18*$C$18/$E$18,0)</f>
        <v/>
      </c>
      <c r="AE21" s="11">
        <f>IF(AND(AE$4&gt;=$M$18,AE$4&lt;=$N$18),$I$18*$J$18*$C$18/$E$18,0)</f>
        <v/>
      </c>
      <c r="AF21" s="11">
        <f>IF(AND(AF$4&gt;=$M$18,AF$4&lt;=$N$18),$I$18*$J$18*$C$18/$E$18,0)</f>
        <v/>
      </c>
      <c r="AG21" s="11">
        <f>IF(AND(AG$4&gt;=$M$18,AG$4&lt;=$N$18),$I$18*$J$18*$C$18/$E$18,0)</f>
        <v/>
      </c>
      <c r="AH21" s="11">
        <f>IF(AND(AH$4&gt;=$M$18,AH$4&lt;=$N$18),$I$18*$J$18*$C$18/$E$18,0)</f>
        <v/>
      </c>
      <c r="AI21" s="11">
        <f>IF(AND(AI$4&gt;=$M$18,AI$4&lt;=$N$18),$I$18*$J$18*$C$18/$E$18,0)</f>
        <v/>
      </c>
      <c r="AJ21" s="11">
        <f>IF(AND(AJ$4&gt;=$M$18,AJ$4&lt;=$N$18),$I$18*$J$18*$C$18/$E$18,0)</f>
        <v/>
      </c>
      <c r="AK21" s="11">
        <f>IF(AND(AK$4&gt;=$M$18,AK$4&lt;=$N$18),$I$18*$J$18*$C$18/$E$18,0)</f>
        <v/>
      </c>
      <c r="AL21" s="11">
        <f>IF(AND(AL$4&gt;=$M$18,AL$4&lt;=$N$18),$I$18*$J$18*$C$18/$E$18,0)</f>
        <v/>
      </c>
      <c r="AM21" s="11">
        <f>IF(AND(AM$4&gt;=$M$18,AM$4&lt;=$N$18),$I$18*$J$18*$C$18/$E$18,0)</f>
        <v/>
      </c>
    </row>
    <row r="22">
      <c r="A22" s="26" t="inlineStr">
        <is>
          <t xml:space="preserve">   Success Fee Cash</t>
        </is>
      </c>
      <c r="P22" s="11">
        <f>IF(AND(P$4-$K$18&gt;=$M$18,P$4-$K$18&lt;=$N$18),$I$18*$J$18*$C$18/$E$18,0)</f>
        <v/>
      </c>
      <c r="Q22" s="11">
        <f>IF(AND(Q$4-$K$18&gt;=$M$18,Q$4-$K$18&lt;=$N$18),$I$18*$J$18*$C$18/$E$18,0)</f>
        <v/>
      </c>
      <c r="R22" s="11">
        <f>IF(AND(R$4-$K$18&gt;=$M$18,R$4-$K$18&lt;=$N$18),$I$18*$J$18*$C$18/$E$18,0)</f>
        <v/>
      </c>
      <c r="S22" s="11">
        <f>IF(AND(S$4-$K$18&gt;=$M$18,S$4-$K$18&lt;=$N$18),$I$18*$J$18*$C$18/$E$18,0)</f>
        <v/>
      </c>
      <c r="T22" s="11">
        <f>IF(AND(T$4-$K$18&gt;=$M$18,T$4-$K$18&lt;=$N$18),$I$18*$J$18*$C$18/$E$18,0)</f>
        <v/>
      </c>
      <c r="U22" s="11">
        <f>IF(AND(U$4-$K$18&gt;=$M$18,U$4-$K$18&lt;=$N$18),$I$18*$J$18*$C$18/$E$18,0)</f>
        <v/>
      </c>
      <c r="V22" s="11">
        <f>IF(AND(V$4-$K$18&gt;=$M$18,V$4-$K$18&lt;=$N$18),$I$18*$J$18*$C$18/$E$18,0)</f>
        <v/>
      </c>
      <c r="W22" s="11">
        <f>IF(AND(W$4-$K$18&gt;=$M$18,W$4-$K$18&lt;=$N$18),$I$18*$J$18*$C$18/$E$18,0)</f>
        <v/>
      </c>
      <c r="X22" s="11">
        <f>IF(AND(X$4-$K$18&gt;=$M$18,X$4-$K$18&lt;=$N$18),$I$18*$J$18*$C$18/$E$18,0)</f>
        <v/>
      </c>
      <c r="Y22" s="11">
        <f>IF(AND(Y$4-$K$18&gt;=$M$18,Y$4-$K$18&lt;=$N$18),$I$18*$J$18*$C$18/$E$18,0)</f>
        <v/>
      </c>
      <c r="Z22" s="11">
        <f>IF(AND(Z$4-$K$18&gt;=$M$18,Z$4-$K$18&lt;=$N$18),$I$18*$J$18*$C$18/$E$18,0)</f>
        <v/>
      </c>
      <c r="AA22" s="11">
        <f>IF(AND(AA$4-$K$18&gt;=$M$18,AA$4-$K$18&lt;=$N$18),$I$18*$J$18*$C$18/$E$18,0)</f>
        <v/>
      </c>
      <c r="AB22" s="11">
        <f>IF(AND(AB$4-$K$18&gt;=$M$18,AB$4-$K$18&lt;=$N$18),$I$18*$J$18*$C$18/$E$18,0)</f>
        <v/>
      </c>
      <c r="AC22" s="11">
        <f>IF(AND(AC$4-$K$18&gt;=$M$18,AC$4-$K$18&lt;=$N$18),$I$18*$J$18*$C$18/$E$18,0)</f>
        <v/>
      </c>
      <c r="AD22" s="11">
        <f>IF(AND(AD$4-$K$18&gt;=$M$18,AD$4-$K$18&lt;=$N$18),$I$18*$J$18*$C$18/$E$18,0)</f>
        <v/>
      </c>
      <c r="AE22" s="11">
        <f>IF(AND(AE$4-$K$18&gt;=$M$18,AE$4-$K$18&lt;=$N$18),$I$18*$J$18*$C$18/$E$18,0)</f>
        <v/>
      </c>
      <c r="AF22" s="11">
        <f>IF(AND(AF$4-$K$18&gt;=$M$18,AF$4-$K$18&lt;=$N$18),$I$18*$J$18*$C$18/$E$18,0)</f>
        <v/>
      </c>
      <c r="AG22" s="11">
        <f>IF(AND(AG$4-$K$18&gt;=$M$18,AG$4-$K$18&lt;=$N$18),$I$18*$J$18*$C$18/$E$18,0)</f>
        <v/>
      </c>
      <c r="AH22" s="11">
        <f>IF(AND(AH$4-$K$18&gt;=$M$18,AH$4-$K$18&lt;=$N$18),$I$18*$J$18*$C$18/$E$18,0)</f>
        <v/>
      </c>
      <c r="AI22" s="11">
        <f>IF(AND(AI$4-$K$18&gt;=$M$18,AI$4-$K$18&lt;=$N$18),$I$18*$J$18*$C$18/$E$18,0)</f>
        <v/>
      </c>
      <c r="AJ22" s="11">
        <f>IF(AND(AJ$4-$K$18&gt;=$M$18,AJ$4-$K$18&lt;=$N$18),$I$18*$J$18*$C$18/$E$18,0)</f>
        <v/>
      </c>
      <c r="AK22" s="11">
        <f>IF(AND(AK$4-$K$18&gt;=$M$18,AK$4-$K$18&lt;=$N$18),$I$18*$J$18*$C$18/$E$18,0)</f>
        <v/>
      </c>
      <c r="AL22" s="11">
        <f>IF(AND(AL$4-$K$18&gt;=$M$18,AL$4-$K$18&lt;=$N$18),$I$18*$J$18*$C$18/$E$18,0)</f>
        <v/>
      </c>
      <c r="AM22" s="11">
        <f>IF(AND(AM$4-$K$18&gt;=$M$18,AM$4-$K$18&lt;=$N$18),$I$18*$J$18*$C$18/$E$18,0)</f>
        <v/>
      </c>
    </row>
    <row r="24">
      <c r="A24" s="22" t="inlineStr">
        <is>
          <t>Chainguard (renewal pending)</t>
        </is>
      </c>
      <c r="B24" s="23" t="inlineStr">
        <is>
          <t>Pipeline</t>
        </is>
      </c>
      <c r="C24" s="5" t="n">
        <v>0.6</v>
      </c>
      <c r="D24" s="4" t="n">
        <v>30000</v>
      </c>
      <c r="E24" s="6" t="n">
        <v>9</v>
      </c>
      <c r="F24" s="24" t="n">
        <v>46174</v>
      </c>
      <c r="G24" s="23" t="inlineStr">
        <is>
          <t>Month After Signing</t>
        </is>
      </c>
      <c r="H24" s="23" t="inlineStr">
        <is>
          <t>Spread Monthly (=Accrual)</t>
        </is>
      </c>
      <c r="I24" s="4" t="n">
        <v>4000</v>
      </c>
      <c r="J24" s="6" t="n">
        <v>5</v>
      </c>
      <c r="K24" s="6" t="n">
        <v>1</v>
      </c>
      <c r="L24" s="25">
        <f>YEAR(F24)*12+MONTH(F24)</f>
        <v/>
      </c>
      <c r="M24" s="25">
        <f>L24+IF(G24="Month After Signing",1,0)</f>
        <v/>
      </c>
      <c r="N24" s="25">
        <f>M24+E24-1</f>
        <v/>
      </c>
    </row>
    <row r="25">
      <c r="A25" s="26" t="inlineStr">
        <is>
          <t xml:space="preserve">   Contract Accrual</t>
        </is>
      </c>
      <c r="P25" s="11">
        <f>IF(AND(P$4&gt;=$M$24,P$4&lt;=$N$24),$D$24/$E$24*$C$24,0)</f>
        <v/>
      </c>
      <c r="Q25" s="11">
        <f>IF(AND(Q$4&gt;=$M$24,Q$4&lt;=$N$24),$D$24/$E$24*$C$24,0)</f>
        <v/>
      </c>
      <c r="R25" s="11">
        <f>IF(AND(R$4&gt;=$M$24,R$4&lt;=$N$24),$D$24/$E$24*$C$24,0)</f>
        <v/>
      </c>
      <c r="S25" s="11">
        <f>IF(AND(S$4&gt;=$M$24,S$4&lt;=$N$24),$D$24/$E$24*$C$24,0)</f>
        <v/>
      </c>
      <c r="T25" s="11">
        <f>IF(AND(T$4&gt;=$M$24,T$4&lt;=$N$24),$D$24/$E$24*$C$24,0)</f>
        <v/>
      </c>
      <c r="U25" s="11">
        <f>IF(AND(U$4&gt;=$M$24,U$4&lt;=$N$24),$D$24/$E$24*$C$24,0)</f>
        <v/>
      </c>
      <c r="V25" s="11">
        <f>IF(AND(V$4&gt;=$M$24,V$4&lt;=$N$24),$D$24/$E$24*$C$24,0)</f>
        <v/>
      </c>
      <c r="W25" s="11">
        <f>IF(AND(W$4&gt;=$M$24,W$4&lt;=$N$24),$D$24/$E$24*$C$24,0)</f>
        <v/>
      </c>
      <c r="X25" s="11">
        <f>IF(AND(X$4&gt;=$M$24,X$4&lt;=$N$24),$D$24/$E$24*$C$24,0)</f>
        <v/>
      </c>
      <c r="Y25" s="11">
        <f>IF(AND(Y$4&gt;=$M$24,Y$4&lt;=$N$24),$D$24/$E$24*$C$24,0)</f>
        <v/>
      </c>
      <c r="Z25" s="11">
        <f>IF(AND(Z$4&gt;=$M$24,Z$4&lt;=$N$24),$D$24/$E$24*$C$24,0)</f>
        <v/>
      </c>
      <c r="AA25" s="11">
        <f>IF(AND(AA$4&gt;=$M$24,AA$4&lt;=$N$24),$D$24/$E$24*$C$24,0)</f>
        <v/>
      </c>
      <c r="AB25" s="11">
        <f>IF(AND(AB$4&gt;=$M$24,AB$4&lt;=$N$24),$D$24/$E$24*$C$24,0)</f>
        <v/>
      </c>
      <c r="AC25" s="11">
        <f>IF(AND(AC$4&gt;=$M$24,AC$4&lt;=$N$24),$D$24/$E$24*$C$24,0)</f>
        <v/>
      </c>
      <c r="AD25" s="11">
        <f>IF(AND(AD$4&gt;=$M$24,AD$4&lt;=$N$24),$D$24/$E$24*$C$24,0)</f>
        <v/>
      </c>
      <c r="AE25" s="11">
        <f>IF(AND(AE$4&gt;=$M$24,AE$4&lt;=$N$24),$D$24/$E$24*$C$24,0)</f>
        <v/>
      </c>
      <c r="AF25" s="11">
        <f>IF(AND(AF$4&gt;=$M$24,AF$4&lt;=$N$24),$D$24/$E$24*$C$24,0)</f>
        <v/>
      </c>
      <c r="AG25" s="11">
        <f>IF(AND(AG$4&gt;=$M$24,AG$4&lt;=$N$24),$D$24/$E$24*$C$24,0)</f>
        <v/>
      </c>
      <c r="AH25" s="11">
        <f>IF(AND(AH$4&gt;=$M$24,AH$4&lt;=$N$24),$D$24/$E$24*$C$24,0)</f>
        <v/>
      </c>
      <c r="AI25" s="11">
        <f>IF(AND(AI$4&gt;=$M$24,AI$4&lt;=$N$24),$D$24/$E$24*$C$24,0)</f>
        <v/>
      </c>
      <c r="AJ25" s="11">
        <f>IF(AND(AJ$4&gt;=$M$24,AJ$4&lt;=$N$24),$D$24/$E$24*$C$24,0)</f>
        <v/>
      </c>
      <c r="AK25" s="11">
        <f>IF(AND(AK$4&gt;=$M$24,AK$4&lt;=$N$24),$D$24/$E$24*$C$24,0)</f>
        <v/>
      </c>
      <c r="AL25" s="11">
        <f>IF(AND(AL$4&gt;=$M$24,AL$4&lt;=$N$24),$D$24/$E$24*$C$24,0)</f>
        <v/>
      </c>
      <c r="AM25" s="11">
        <f>IF(AND(AM$4&gt;=$M$24,AM$4&lt;=$N$24),$D$24/$E$24*$C$24,0)</f>
        <v/>
      </c>
    </row>
    <row r="26">
      <c r="A26" s="26" t="inlineStr">
        <is>
          <t xml:space="preserve">   Contract Cash</t>
        </is>
      </c>
      <c r="P26" s="11">
        <f>IF($H$24="Lump Sum at Signing",IF(P$4=$L$24,$D$24*$C$24,0),IF(AND(P$4&gt;=$M$24,P$4&lt;=$N$24),$D$24/$E$24*$C$24,0))</f>
        <v/>
      </c>
      <c r="Q26" s="11">
        <f>IF($H$24="Lump Sum at Signing",IF(Q$4=$L$24,$D$24*$C$24,0),IF(AND(Q$4&gt;=$M$24,Q$4&lt;=$N$24),$D$24/$E$24*$C$24,0))</f>
        <v/>
      </c>
      <c r="R26" s="11">
        <f>IF($H$24="Lump Sum at Signing",IF(R$4=$L$24,$D$24*$C$24,0),IF(AND(R$4&gt;=$M$24,R$4&lt;=$N$24),$D$24/$E$24*$C$24,0))</f>
        <v/>
      </c>
      <c r="S26" s="11">
        <f>IF($H$24="Lump Sum at Signing",IF(S$4=$L$24,$D$24*$C$24,0),IF(AND(S$4&gt;=$M$24,S$4&lt;=$N$24),$D$24/$E$24*$C$24,0))</f>
        <v/>
      </c>
      <c r="T26" s="11">
        <f>IF($H$24="Lump Sum at Signing",IF(T$4=$L$24,$D$24*$C$24,0),IF(AND(T$4&gt;=$M$24,T$4&lt;=$N$24),$D$24/$E$24*$C$24,0))</f>
        <v/>
      </c>
      <c r="U26" s="11">
        <f>IF($H$24="Lump Sum at Signing",IF(U$4=$L$24,$D$24*$C$24,0),IF(AND(U$4&gt;=$M$24,U$4&lt;=$N$24),$D$24/$E$24*$C$24,0))</f>
        <v/>
      </c>
      <c r="V26" s="11">
        <f>IF($H$24="Lump Sum at Signing",IF(V$4=$L$24,$D$24*$C$24,0),IF(AND(V$4&gt;=$M$24,V$4&lt;=$N$24),$D$24/$E$24*$C$24,0))</f>
        <v/>
      </c>
      <c r="W26" s="11">
        <f>IF($H$24="Lump Sum at Signing",IF(W$4=$L$24,$D$24*$C$24,0),IF(AND(W$4&gt;=$M$24,W$4&lt;=$N$24),$D$24/$E$24*$C$24,0))</f>
        <v/>
      </c>
      <c r="X26" s="11">
        <f>IF($H$24="Lump Sum at Signing",IF(X$4=$L$24,$D$24*$C$24,0),IF(AND(X$4&gt;=$M$24,X$4&lt;=$N$24),$D$24/$E$24*$C$24,0))</f>
        <v/>
      </c>
      <c r="Y26" s="11">
        <f>IF($H$24="Lump Sum at Signing",IF(Y$4=$L$24,$D$24*$C$24,0),IF(AND(Y$4&gt;=$M$24,Y$4&lt;=$N$24),$D$24/$E$24*$C$24,0))</f>
        <v/>
      </c>
      <c r="Z26" s="11">
        <f>IF($H$24="Lump Sum at Signing",IF(Z$4=$L$24,$D$24*$C$24,0),IF(AND(Z$4&gt;=$M$24,Z$4&lt;=$N$24),$D$24/$E$24*$C$24,0))</f>
        <v/>
      </c>
      <c r="AA26" s="11">
        <f>IF($H$24="Lump Sum at Signing",IF(AA$4=$L$24,$D$24*$C$24,0),IF(AND(AA$4&gt;=$M$24,AA$4&lt;=$N$24),$D$24/$E$24*$C$24,0))</f>
        <v/>
      </c>
      <c r="AB26" s="11">
        <f>IF($H$24="Lump Sum at Signing",IF(AB$4=$L$24,$D$24*$C$24,0),IF(AND(AB$4&gt;=$M$24,AB$4&lt;=$N$24),$D$24/$E$24*$C$24,0))</f>
        <v/>
      </c>
      <c r="AC26" s="11">
        <f>IF($H$24="Lump Sum at Signing",IF(AC$4=$L$24,$D$24*$C$24,0),IF(AND(AC$4&gt;=$M$24,AC$4&lt;=$N$24),$D$24/$E$24*$C$24,0))</f>
        <v/>
      </c>
      <c r="AD26" s="11">
        <f>IF($H$24="Lump Sum at Signing",IF(AD$4=$L$24,$D$24*$C$24,0),IF(AND(AD$4&gt;=$M$24,AD$4&lt;=$N$24),$D$24/$E$24*$C$24,0))</f>
        <v/>
      </c>
      <c r="AE26" s="11">
        <f>IF($H$24="Lump Sum at Signing",IF(AE$4=$L$24,$D$24*$C$24,0),IF(AND(AE$4&gt;=$M$24,AE$4&lt;=$N$24),$D$24/$E$24*$C$24,0))</f>
        <v/>
      </c>
      <c r="AF26" s="11">
        <f>IF($H$24="Lump Sum at Signing",IF(AF$4=$L$24,$D$24*$C$24,0),IF(AND(AF$4&gt;=$M$24,AF$4&lt;=$N$24),$D$24/$E$24*$C$24,0))</f>
        <v/>
      </c>
      <c r="AG26" s="11">
        <f>IF($H$24="Lump Sum at Signing",IF(AG$4=$L$24,$D$24*$C$24,0),IF(AND(AG$4&gt;=$M$24,AG$4&lt;=$N$24),$D$24/$E$24*$C$24,0))</f>
        <v/>
      </c>
      <c r="AH26" s="11">
        <f>IF($H$24="Lump Sum at Signing",IF(AH$4=$L$24,$D$24*$C$24,0),IF(AND(AH$4&gt;=$M$24,AH$4&lt;=$N$24),$D$24/$E$24*$C$24,0))</f>
        <v/>
      </c>
      <c r="AI26" s="11">
        <f>IF($H$24="Lump Sum at Signing",IF(AI$4=$L$24,$D$24*$C$24,0),IF(AND(AI$4&gt;=$M$24,AI$4&lt;=$N$24),$D$24/$E$24*$C$24,0))</f>
        <v/>
      </c>
      <c r="AJ26" s="11">
        <f>IF($H$24="Lump Sum at Signing",IF(AJ$4=$L$24,$D$24*$C$24,0),IF(AND(AJ$4&gt;=$M$24,AJ$4&lt;=$N$24),$D$24/$E$24*$C$24,0))</f>
        <v/>
      </c>
      <c r="AK26" s="11">
        <f>IF($H$24="Lump Sum at Signing",IF(AK$4=$L$24,$D$24*$C$24,0),IF(AND(AK$4&gt;=$M$24,AK$4&lt;=$N$24),$D$24/$E$24*$C$24,0))</f>
        <v/>
      </c>
      <c r="AL26" s="11">
        <f>IF($H$24="Lump Sum at Signing",IF(AL$4=$L$24,$D$24*$C$24,0),IF(AND(AL$4&gt;=$M$24,AL$4&lt;=$N$24),$D$24/$E$24*$C$24,0))</f>
        <v/>
      </c>
      <c r="AM26" s="11">
        <f>IF($H$24="Lump Sum at Signing",IF(AM$4=$L$24,$D$24*$C$24,0),IF(AND(AM$4&gt;=$M$24,AM$4&lt;=$N$24),$D$24/$E$24*$C$24,0))</f>
        <v/>
      </c>
    </row>
    <row r="27">
      <c r="A27" s="26" t="inlineStr">
        <is>
          <t xml:space="preserve">   Success Fee Accrual</t>
        </is>
      </c>
      <c r="P27" s="11">
        <f>IF(AND(P$4&gt;=$M$24,P$4&lt;=$N$24),$I$24*$J$24*$C$24/$E$24,0)</f>
        <v/>
      </c>
      <c r="Q27" s="11">
        <f>IF(AND(Q$4&gt;=$M$24,Q$4&lt;=$N$24),$I$24*$J$24*$C$24/$E$24,0)</f>
        <v/>
      </c>
      <c r="R27" s="11">
        <f>IF(AND(R$4&gt;=$M$24,R$4&lt;=$N$24),$I$24*$J$24*$C$24/$E$24,0)</f>
        <v/>
      </c>
      <c r="S27" s="11">
        <f>IF(AND(S$4&gt;=$M$24,S$4&lt;=$N$24),$I$24*$J$24*$C$24/$E$24,0)</f>
        <v/>
      </c>
      <c r="T27" s="11">
        <f>IF(AND(T$4&gt;=$M$24,T$4&lt;=$N$24),$I$24*$J$24*$C$24/$E$24,0)</f>
        <v/>
      </c>
      <c r="U27" s="11">
        <f>IF(AND(U$4&gt;=$M$24,U$4&lt;=$N$24),$I$24*$J$24*$C$24/$E$24,0)</f>
        <v/>
      </c>
      <c r="V27" s="11">
        <f>IF(AND(V$4&gt;=$M$24,V$4&lt;=$N$24),$I$24*$J$24*$C$24/$E$24,0)</f>
        <v/>
      </c>
      <c r="W27" s="11">
        <f>IF(AND(W$4&gt;=$M$24,W$4&lt;=$N$24),$I$24*$J$24*$C$24/$E$24,0)</f>
        <v/>
      </c>
      <c r="X27" s="11">
        <f>IF(AND(X$4&gt;=$M$24,X$4&lt;=$N$24),$I$24*$J$24*$C$24/$E$24,0)</f>
        <v/>
      </c>
      <c r="Y27" s="11">
        <f>IF(AND(Y$4&gt;=$M$24,Y$4&lt;=$N$24),$I$24*$J$24*$C$24/$E$24,0)</f>
        <v/>
      </c>
      <c r="Z27" s="11">
        <f>IF(AND(Z$4&gt;=$M$24,Z$4&lt;=$N$24),$I$24*$J$24*$C$24/$E$24,0)</f>
        <v/>
      </c>
      <c r="AA27" s="11">
        <f>IF(AND(AA$4&gt;=$M$24,AA$4&lt;=$N$24),$I$24*$J$24*$C$24/$E$24,0)</f>
        <v/>
      </c>
      <c r="AB27" s="11">
        <f>IF(AND(AB$4&gt;=$M$24,AB$4&lt;=$N$24),$I$24*$J$24*$C$24/$E$24,0)</f>
        <v/>
      </c>
      <c r="AC27" s="11">
        <f>IF(AND(AC$4&gt;=$M$24,AC$4&lt;=$N$24),$I$24*$J$24*$C$24/$E$24,0)</f>
        <v/>
      </c>
      <c r="AD27" s="11">
        <f>IF(AND(AD$4&gt;=$M$24,AD$4&lt;=$N$24),$I$24*$J$24*$C$24/$E$24,0)</f>
        <v/>
      </c>
      <c r="AE27" s="11">
        <f>IF(AND(AE$4&gt;=$M$24,AE$4&lt;=$N$24),$I$24*$J$24*$C$24/$E$24,0)</f>
        <v/>
      </c>
      <c r="AF27" s="11">
        <f>IF(AND(AF$4&gt;=$M$24,AF$4&lt;=$N$24),$I$24*$J$24*$C$24/$E$24,0)</f>
        <v/>
      </c>
      <c r="AG27" s="11">
        <f>IF(AND(AG$4&gt;=$M$24,AG$4&lt;=$N$24),$I$24*$J$24*$C$24/$E$24,0)</f>
        <v/>
      </c>
      <c r="AH27" s="11">
        <f>IF(AND(AH$4&gt;=$M$24,AH$4&lt;=$N$24),$I$24*$J$24*$C$24/$E$24,0)</f>
        <v/>
      </c>
      <c r="AI27" s="11">
        <f>IF(AND(AI$4&gt;=$M$24,AI$4&lt;=$N$24),$I$24*$J$24*$C$24/$E$24,0)</f>
        <v/>
      </c>
      <c r="AJ27" s="11">
        <f>IF(AND(AJ$4&gt;=$M$24,AJ$4&lt;=$N$24),$I$24*$J$24*$C$24/$E$24,0)</f>
        <v/>
      </c>
      <c r="AK27" s="11">
        <f>IF(AND(AK$4&gt;=$M$24,AK$4&lt;=$N$24),$I$24*$J$24*$C$24/$E$24,0)</f>
        <v/>
      </c>
      <c r="AL27" s="11">
        <f>IF(AND(AL$4&gt;=$M$24,AL$4&lt;=$N$24),$I$24*$J$24*$C$24/$E$24,0)</f>
        <v/>
      </c>
      <c r="AM27" s="11">
        <f>IF(AND(AM$4&gt;=$M$24,AM$4&lt;=$N$24),$I$24*$J$24*$C$24/$E$24,0)</f>
        <v/>
      </c>
    </row>
    <row r="28">
      <c r="A28" s="26" t="inlineStr">
        <is>
          <t xml:space="preserve">   Success Fee Cash</t>
        </is>
      </c>
      <c r="P28" s="11">
        <f>IF(AND(P$4-$K$24&gt;=$M$24,P$4-$K$24&lt;=$N$24),$I$24*$J$24*$C$24/$E$24,0)</f>
        <v/>
      </c>
      <c r="Q28" s="11">
        <f>IF(AND(Q$4-$K$24&gt;=$M$24,Q$4-$K$24&lt;=$N$24),$I$24*$J$24*$C$24/$E$24,0)</f>
        <v/>
      </c>
      <c r="R28" s="11">
        <f>IF(AND(R$4-$K$24&gt;=$M$24,R$4-$K$24&lt;=$N$24),$I$24*$J$24*$C$24/$E$24,0)</f>
        <v/>
      </c>
      <c r="S28" s="11">
        <f>IF(AND(S$4-$K$24&gt;=$M$24,S$4-$K$24&lt;=$N$24),$I$24*$J$24*$C$24/$E$24,0)</f>
        <v/>
      </c>
      <c r="T28" s="11">
        <f>IF(AND(T$4-$K$24&gt;=$M$24,T$4-$K$24&lt;=$N$24),$I$24*$J$24*$C$24/$E$24,0)</f>
        <v/>
      </c>
      <c r="U28" s="11">
        <f>IF(AND(U$4-$K$24&gt;=$M$24,U$4-$K$24&lt;=$N$24),$I$24*$J$24*$C$24/$E$24,0)</f>
        <v/>
      </c>
      <c r="V28" s="11">
        <f>IF(AND(V$4-$K$24&gt;=$M$24,V$4-$K$24&lt;=$N$24),$I$24*$J$24*$C$24/$E$24,0)</f>
        <v/>
      </c>
      <c r="W28" s="11">
        <f>IF(AND(W$4-$K$24&gt;=$M$24,W$4-$K$24&lt;=$N$24),$I$24*$J$24*$C$24/$E$24,0)</f>
        <v/>
      </c>
      <c r="X28" s="11">
        <f>IF(AND(X$4-$K$24&gt;=$M$24,X$4-$K$24&lt;=$N$24),$I$24*$J$24*$C$24/$E$24,0)</f>
        <v/>
      </c>
      <c r="Y28" s="11">
        <f>IF(AND(Y$4-$K$24&gt;=$M$24,Y$4-$K$24&lt;=$N$24),$I$24*$J$24*$C$24/$E$24,0)</f>
        <v/>
      </c>
      <c r="Z28" s="11">
        <f>IF(AND(Z$4-$K$24&gt;=$M$24,Z$4-$K$24&lt;=$N$24),$I$24*$J$24*$C$24/$E$24,0)</f>
        <v/>
      </c>
      <c r="AA28" s="11">
        <f>IF(AND(AA$4-$K$24&gt;=$M$24,AA$4-$K$24&lt;=$N$24),$I$24*$J$24*$C$24/$E$24,0)</f>
        <v/>
      </c>
      <c r="AB28" s="11">
        <f>IF(AND(AB$4-$K$24&gt;=$M$24,AB$4-$K$24&lt;=$N$24),$I$24*$J$24*$C$24/$E$24,0)</f>
        <v/>
      </c>
      <c r="AC28" s="11">
        <f>IF(AND(AC$4-$K$24&gt;=$M$24,AC$4-$K$24&lt;=$N$24),$I$24*$J$24*$C$24/$E$24,0)</f>
        <v/>
      </c>
      <c r="AD28" s="11">
        <f>IF(AND(AD$4-$K$24&gt;=$M$24,AD$4-$K$24&lt;=$N$24),$I$24*$J$24*$C$24/$E$24,0)</f>
        <v/>
      </c>
      <c r="AE28" s="11">
        <f>IF(AND(AE$4-$K$24&gt;=$M$24,AE$4-$K$24&lt;=$N$24),$I$24*$J$24*$C$24/$E$24,0)</f>
        <v/>
      </c>
      <c r="AF28" s="11">
        <f>IF(AND(AF$4-$K$24&gt;=$M$24,AF$4-$K$24&lt;=$N$24),$I$24*$J$24*$C$24/$E$24,0)</f>
        <v/>
      </c>
      <c r="AG28" s="11">
        <f>IF(AND(AG$4-$K$24&gt;=$M$24,AG$4-$K$24&lt;=$N$24),$I$24*$J$24*$C$24/$E$24,0)</f>
        <v/>
      </c>
      <c r="AH28" s="11">
        <f>IF(AND(AH$4-$K$24&gt;=$M$24,AH$4-$K$24&lt;=$N$24),$I$24*$J$24*$C$24/$E$24,0)</f>
        <v/>
      </c>
      <c r="AI28" s="11">
        <f>IF(AND(AI$4-$K$24&gt;=$M$24,AI$4-$K$24&lt;=$N$24),$I$24*$J$24*$C$24/$E$24,0)</f>
        <v/>
      </c>
      <c r="AJ28" s="11">
        <f>IF(AND(AJ$4-$K$24&gt;=$M$24,AJ$4-$K$24&lt;=$N$24),$I$24*$J$24*$C$24/$E$24,0)</f>
        <v/>
      </c>
      <c r="AK28" s="11">
        <f>IF(AND(AK$4-$K$24&gt;=$M$24,AK$4-$K$24&lt;=$N$24),$I$24*$J$24*$C$24/$E$24,0)</f>
        <v/>
      </c>
      <c r="AL28" s="11">
        <f>IF(AND(AL$4-$K$24&gt;=$M$24,AL$4-$K$24&lt;=$N$24),$I$24*$J$24*$C$24/$E$24,0)</f>
        <v/>
      </c>
      <c r="AM28" s="11">
        <f>IF(AND(AM$4-$K$24&gt;=$M$24,AM$4-$K$24&lt;=$N$24),$I$24*$J$24*$C$24/$E$24,0)</f>
        <v/>
      </c>
    </row>
    <row r="30">
      <c r="A30" s="22" t="inlineStr">
        <is>
          <t>Solid Road (pilot -&gt; recurring)</t>
        </is>
      </c>
      <c r="B30" s="23" t="inlineStr">
        <is>
          <t>Pipeline</t>
        </is>
      </c>
      <c r="C30" s="5" t="n">
        <v>0.4</v>
      </c>
      <c r="D30" s="4" t="n">
        <v>18000</v>
      </c>
      <c r="E30" s="6" t="n">
        <v>6</v>
      </c>
      <c r="F30" s="24" t="n">
        <v>46204</v>
      </c>
      <c r="G30" s="23" t="inlineStr">
        <is>
          <t>Month After Signing</t>
        </is>
      </c>
      <c r="H30" s="23" t="inlineStr">
        <is>
          <t>Spread Monthly (=Accrual)</t>
        </is>
      </c>
      <c r="I30" s="4" t="n">
        <v>3000</v>
      </c>
      <c r="J30" s="6" t="n">
        <v>3</v>
      </c>
      <c r="K30" s="6" t="n">
        <v>2</v>
      </c>
      <c r="L30" s="25">
        <f>YEAR(F30)*12+MONTH(F30)</f>
        <v/>
      </c>
      <c r="M30" s="25">
        <f>L30+IF(G30="Month After Signing",1,0)</f>
        <v/>
      </c>
      <c r="N30" s="25">
        <f>M30+E30-1</f>
        <v/>
      </c>
    </row>
    <row r="31">
      <c r="A31" s="26" t="inlineStr">
        <is>
          <t xml:space="preserve">   Contract Accrual</t>
        </is>
      </c>
      <c r="P31" s="11">
        <f>IF(AND(P$4&gt;=$M$30,P$4&lt;=$N$30),$D$30/$E$30*$C$30,0)</f>
        <v/>
      </c>
      <c r="Q31" s="11">
        <f>IF(AND(Q$4&gt;=$M$30,Q$4&lt;=$N$30),$D$30/$E$30*$C$30,0)</f>
        <v/>
      </c>
      <c r="R31" s="11">
        <f>IF(AND(R$4&gt;=$M$30,R$4&lt;=$N$30),$D$30/$E$30*$C$30,0)</f>
        <v/>
      </c>
      <c r="S31" s="11">
        <f>IF(AND(S$4&gt;=$M$30,S$4&lt;=$N$30),$D$30/$E$30*$C$30,0)</f>
        <v/>
      </c>
      <c r="T31" s="11">
        <f>IF(AND(T$4&gt;=$M$30,T$4&lt;=$N$30),$D$30/$E$30*$C$30,0)</f>
        <v/>
      </c>
      <c r="U31" s="11">
        <f>IF(AND(U$4&gt;=$M$30,U$4&lt;=$N$30),$D$30/$E$30*$C$30,0)</f>
        <v/>
      </c>
      <c r="V31" s="11">
        <f>IF(AND(V$4&gt;=$M$30,V$4&lt;=$N$30),$D$30/$E$30*$C$30,0)</f>
        <v/>
      </c>
      <c r="W31" s="11">
        <f>IF(AND(W$4&gt;=$M$30,W$4&lt;=$N$30),$D$30/$E$30*$C$30,0)</f>
        <v/>
      </c>
      <c r="X31" s="11">
        <f>IF(AND(X$4&gt;=$M$30,X$4&lt;=$N$30),$D$30/$E$30*$C$30,0)</f>
        <v/>
      </c>
      <c r="Y31" s="11">
        <f>IF(AND(Y$4&gt;=$M$30,Y$4&lt;=$N$30),$D$30/$E$30*$C$30,0)</f>
        <v/>
      </c>
      <c r="Z31" s="11">
        <f>IF(AND(Z$4&gt;=$M$30,Z$4&lt;=$N$30),$D$30/$E$30*$C$30,0)</f>
        <v/>
      </c>
      <c r="AA31" s="11">
        <f>IF(AND(AA$4&gt;=$M$30,AA$4&lt;=$N$30),$D$30/$E$30*$C$30,0)</f>
        <v/>
      </c>
      <c r="AB31" s="11">
        <f>IF(AND(AB$4&gt;=$M$30,AB$4&lt;=$N$30),$D$30/$E$30*$C$30,0)</f>
        <v/>
      </c>
      <c r="AC31" s="11">
        <f>IF(AND(AC$4&gt;=$M$30,AC$4&lt;=$N$30),$D$30/$E$30*$C$30,0)</f>
        <v/>
      </c>
      <c r="AD31" s="11">
        <f>IF(AND(AD$4&gt;=$M$30,AD$4&lt;=$N$30),$D$30/$E$30*$C$30,0)</f>
        <v/>
      </c>
      <c r="AE31" s="11">
        <f>IF(AND(AE$4&gt;=$M$30,AE$4&lt;=$N$30),$D$30/$E$30*$C$30,0)</f>
        <v/>
      </c>
      <c r="AF31" s="11">
        <f>IF(AND(AF$4&gt;=$M$30,AF$4&lt;=$N$30),$D$30/$E$30*$C$30,0)</f>
        <v/>
      </c>
      <c r="AG31" s="11">
        <f>IF(AND(AG$4&gt;=$M$30,AG$4&lt;=$N$30),$D$30/$E$30*$C$30,0)</f>
        <v/>
      </c>
      <c r="AH31" s="11">
        <f>IF(AND(AH$4&gt;=$M$30,AH$4&lt;=$N$30),$D$30/$E$30*$C$30,0)</f>
        <v/>
      </c>
      <c r="AI31" s="11">
        <f>IF(AND(AI$4&gt;=$M$30,AI$4&lt;=$N$30),$D$30/$E$30*$C$30,0)</f>
        <v/>
      </c>
      <c r="AJ31" s="11">
        <f>IF(AND(AJ$4&gt;=$M$30,AJ$4&lt;=$N$30),$D$30/$E$30*$C$30,0)</f>
        <v/>
      </c>
      <c r="AK31" s="11">
        <f>IF(AND(AK$4&gt;=$M$30,AK$4&lt;=$N$30),$D$30/$E$30*$C$30,0)</f>
        <v/>
      </c>
      <c r="AL31" s="11">
        <f>IF(AND(AL$4&gt;=$M$30,AL$4&lt;=$N$30),$D$30/$E$30*$C$30,0)</f>
        <v/>
      </c>
      <c r="AM31" s="11">
        <f>IF(AND(AM$4&gt;=$M$30,AM$4&lt;=$N$30),$D$30/$E$30*$C$30,0)</f>
        <v/>
      </c>
    </row>
    <row r="32">
      <c r="A32" s="26" t="inlineStr">
        <is>
          <t xml:space="preserve">   Contract Cash</t>
        </is>
      </c>
      <c r="P32" s="11">
        <f>IF($H$30="Lump Sum at Signing",IF(P$4=$L$30,$D$30*$C$30,0),IF(AND(P$4&gt;=$M$30,P$4&lt;=$N$30),$D$30/$E$30*$C$30,0))</f>
        <v/>
      </c>
      <c r="Q32" s="11">
        <f>IF($H$30="Lump Sum at Signing",IF(Q$4=$L$30,$D$30*$C$30,0),IF(AND(Q$4&gt;=$M$30,Q$4&lt;=$N$30),$D$30/$E$30*$C$30,0))</f>
        <v/>
      </c>
      <c r="R32" s="11">
        <f>IF($H$30="Lump Sum at Signing",IF(R$4=$L$30,$D$30*$C$30,0),IF(AND(R$4&gt;=$M$30,R$4&lt;=$N$30),$D$30/$E$30*$C$30,0))</f>
        <v/>
      </c>
      <c r="S32" s="11">
        <f>IF($H$30="Lump Sum at Signing",IF(S$4=$L$30,$D$30*$C$30,0),IF(AND(S$4&gt;=$M$30,S$4&lt;=$N$30),$D$30/$E$30*$C$30,0))</f>
        <v/>
      </c>
      <c r="T32" s="11">
        <f>IF($H$30="Lump Sum at Signing",IF(T$4=$L$30,$D$30*$C$30,0),IF(AND(T$4&gt;=$M$30,T$4&lt;=$N$30),$D$30/$E$30*$C$30,0))</f>
        <v/>
      </c>
      <c r="U32" s="11">
        <f>IF($H$30="Lump Sum at Signing",IF(U$4=$L$30,$D$30*$C$30,0),IF(AND(U$4&gt;=$M$30,U$4&lt;=$N$30),$D$30/$E$30*$C$30,0))</f>
        <v/>
      </c>
      <c r="V32" s="11">
        <f>IF($H$30="Lump Sum at Signing",IF(V$4=$L$30,$D$30*$C$30,0),IF(AND(V$4&gt;=$M$30,V$4&lt;=$N$30),$D$30/$E$30*$C$30,0))</f>
        <v/>
      </c>
      <c r="W32" s="11">
        <f>IF($H$30="Lump Sum at Signing",IF(W$4=$L$30,$D$30*$C$30,0),IF(AND(W$4&gt;=$M$30,W$4&lt;=$N$30),$D$30/$E$30*$C$30,0))</f>
        <v/>
      </c>
      <c r="X32" s="11">
        <f>IF($H$30="Lump Sum at Signing",IF(X$4=$L$30,$D$30*$C$30,0),IF(AND(X$4&gt;=$M$30,X$4&lt;=$N$30),$D$30/$E$30*$C$30,0))</f>
        <v/>
      </c>
      <c r="Y32" s="11">
        <f>IF($H$30="Lump Sum at Signing",IF(Y$4=$L$30,$D$30*$C$30,0),IF(AND(Y$4&gt;=$M$30,Y$4&lt;=$N$30),$D$30/$E$30*$C$30,0))</f>
        <v/>
      </c>
      <c r="Z32" s="11">
        <f>IF($H$30="Lump Sum at Signing",IF(Z$4=$L$30,$D$30*$C$30,0),IF(AND(Z$4&gt;=$M$30,Z$4&lt;=$N$30),$D$30/$E$30*$C$30,0))</f>
        <v/>
      </c>
      <c r="AA32" s="11">
        <f>IF($H$30="Lump Sum at Signing",IF(AA$4=$L$30,$D$30*$C$30,0),IF(AND(AA$4&gt;=$M$30,AA$4&lt;=$N$30),$D$30/$E$30*$C$30,0))</f>
        <v/>
      </c>
      <c r="AB32" s="11">
        <f>IF($H$30="Lump Sum at Signing",IF(AB$4=$L$30,$D$30*$C$30,0),IF(AND(AB$4&gt;=$M$30,AB$4&lt;=$N$30),$D$30/$E$30*$C$30,0))</f>
        <v/>
      </c>
      <c r="AC32" s="11">
        <f>IF($H$30="Lump Sum at Signing",IF(AC$4=$L$30,$D$30*$C$30,0),IF(AND(AC$4&gt;=$M$30,AC$4&lt;=$N$30),$D$30/$E$30*$C$30,0))</f>
        <v/>
      </c>
      <c r="AD32" s="11">
        <f>IF($H$30="Lump Sum at Signing",IF(AD$4=$L$30,$D$30*$C$30,0),IF(AND(AD$4&gt;=$M$30,AD$4&lt;=$N$30),$D$30/$E$30*$C$30,0))</f>
        <v/>
      </c>
      <c r="AE32" s="11">
        <f>IF($H$30="Lump Sum at Signing",IF(AE$4=$L$30,$D$30*$C$30,0),IF(AND(AE$4&gt;=$M$30,AE$4&lt;=$N$30),$D$30/$E$30*$C$30,0))</f>
        <v/>
      </c>
      <c r="AF32" s="11">
        <f>IF($H$30="Lump Sum at Signing",IF(AF$4=$L$30,$D$30*$C$30,0),IF(AND(AF$4&gt;=$M$30,AF$4&lt;=$N$30),$D$30/$E$30*$C$30,0))</f>
        <v/>
      </c>
      <c r="AG32" s="11">
        <f>IF($H$30="Lump Sum at Signing",IF(AG$4=$L$30,$D$30*$C$30,0),IF(AND(AG$4&gt;=$M$30,AG$4&lt;=$N$30),$D$30/$E$30*$C$30,0))</f>
        <v/>
      </c>
      <c r="AH32" s="11">
        <f>IF($H$30="Lump Sum at Signing",IF(AH$4=$L$30,$D$30*$C$30,0),IF(AND(AH$4&gt;=$M$30,AH$4&lt;=$N$30),$D$30/$E$30*$C$30,0))</f>
        <v/>
      </c>
      <c r="AI32" s="11">
        <f>IF($H$30="Lump Sum at Signing",IF(AI$4=$L$30,$D$30*$C$30,0),IF(AND(AI$4&gt;=$M$30,AI$4&lt;=$N$30),$D$30/$E$30*$C$30,0))</f>
        <v/>
      </c>
      <c r="AJ32" s="11">
        <f>IF($H$30="Lump Sum at Signing",IF(AJ$4=$L$30,$D$30*$C$30,0),IF(AND(AJ$4&gt;=$M$30,AJ$4&lt;=$N$30),$D$30/$E$30*$C$30,0))</f>
        <v/>
      </c>
      <c r="AK32" s="11">
        <f>IF($H$30="Lump Sum at Signing",IF(AK$4=$L$30,$D$30*$C$30,0),IF(AND(AK$4&gt;=$M$30,AK$4&lt;=$N$30),$D$30/$E$30*$C$30,0))</f>
        <v/>
      </c>
      <c r="AL32" s="11">
        <f>IF($H$30="Lump Sum at Signing",IF(AL$4=$L$30,$D$30*$C$30,0),IF(AND(AL$4&gt;=$M$30,AL$4&lt;=$N$30),$D$30/$E$30*$C$30,0))</f>
        <v/>
      </c>
      <c r="AM32" s="11">
        <f>IF($H$30="Lump Sum at Signing",IF(AM$4=$L$30,$D$30*$C$30,0),IF(AND(AM$4&gt;=$M$30,AM$4&lt;=$N$30),$D$30/$E$30*$C$30,0))</f>
        <v/>
      </c>
    </row>
    <row r="33">
      <c r="A33" s="26" t="inlineStr">
        <is>
          <t xml:space="preserve">   Success Fee Accrual</t>
        </is>
      </c>
      <c r="P33" s="11">
        <f>IF(AND(P$4&gt;=$M$30,P$4&lt;=$N$30),$I$30*$J$30*$C$30/$E$30,0)</f>
        <v/>
      </c>
      <c r="Q33" s="11">
        <f>IF(AND(Q$4&gt;=$M$30,Q$4&lt;=$N$30),$I$30*$J$30*$C$30/$E$30,0)</f>
        <v/>
      </c>
      <c r="R33" s="11">
        <f>IF(AND(R$4&gt;=$M$30,R$4&lt;=$N$30),$I$30*$J$30*$C$30/$E$30,0)</f>
        <v/>
      </c>
      <c r="S33" s="11">
        <f>IF(AND(S$4&gt;=$M$30,S$4&lt;=$N$30),$I$30*$J$30*$C$30/$E$30,0)</f>
        <v/>
      </c>
      <c r="T33" s="11">
        <f>IF(AND(T$4&gt;=$M$30,T$4&lt;=$N$30),$I$30*$J$30*$C$30/$E$30,0)</f>
        <v/>
      </c>
      <c r="U33" s="11">
        <f>IF(AND(U$4&gt;=$M$30,U$4&lt;=$N$30),$I$30*$J$30*$C$30/$E$30,0)</f>
        <v/>
      </c>
      <c r="V33" s="11">
        <f>IF(AND(V$4&gt;=$M$30,V$4&lt;=$N$30),$I$30*$J$30*$C$30/$E$30,0)</f>
        <v/>
      </c>
      <c r="W33" s="11">
        <f>IF(AND(W$4&gt;=$M$30,W$4&lt;=$N$30),$I$30*$J$30*$C$30/$E$30,0)</f>
        <v/>
      </c>
      <c r="X33" s="11">
        <f>IF(AND(X$4&gt;=$M$30,X$4&lt;=$N$30),$I$30*$J$30*$C$30/$E$30,0)</f>
        <v/>
      </c>
      <c r="Y33" s="11">
        <f>IF(AND(Y$4&gt;=$M$30,Y$4&lt;=$N$30),$I$30*$J$30*$C$30/$E$30,0)</f>
        <v/>
      </c>
      <c r="Z33" s="11">
        <f>IF(AND(Z$4&gt;=$M$30,Z$4&lt;=$N$30),$I$30*$J$30*$C$30/$E$30,0)</f>
        <v/>
      </c>
      <c r="AA33" s="11">
        <f>IF(AND(AA$4&gt;=$M$30,AA$4&lt;=$N$30),$I$30*$J$30*$C$30/$E$30,0)</f>
        <v/>
      </c>
      <c r="AB33" s="11">
        <f>IF(AND(AB$4&gt;=$M$30,AB$4&lt;=$N$30),$I$30*$J$30*$C$30/$E$30,0)</f>
        <v/>
      </c>
      <c r="AC33" s="11">
        <f>IF(AND(AC$4&gt;=$M$30,AC$4&lt;=$N$30),$I$30*$J$30*$C$30/$E$30,0)</f>
        <v/>
      </c>
      <c r="AD33" s="11">
        <f>IF(AND(AD$4&gt;=$M$30,AD$4&lt;=$N$30),$I$30*$J$30*$C$30/$E$30,0)</f>
        <v/>
      </c>
      <c r="AE33" s="11">
        <f>IF(AND(AE$4&gt;=$M$30,AE$4&lt;=$N$30),$I$30*$J$30*$C$30/$E$30,0)</f>
        <v/>
      </c>
      <c r="AF33" s="11">
        <f>IF(AND(AF$4&gt;=$M$30,AF$4&lt;=$N$30),$I$30*$J$30*$C$30/$E$30,0)</f>
        <v/>
      </c>
      <c r="AG33" s="11">
        <f>IF(AND(AG$4&gt;=$M$30,AG$4&lt;=$N$30),$I$30*$J$30*$C$30/$E$30,0)</f>
        <v/>
      </c>
      <c r="AH33" s="11">
        <f>IF(AND(AH$4&gt;=$M$30,AH$4&lt;=$N$30),$I$30*$J$30*$C$30/$E$30,0)</f>
        <v/>
      </c>
      <c r="AI33" s="11">
        <f>IF(AND(AI$4&gt;=$M$30,AI$4&lt;=$N$30),$I$30*$J$30*$C$30/$E$30,0)</f>
        <v/>
      </c>
      <c r="AJ33" s="11">
        <f>IF(AND(AJ$4&gt;=$M$30,AJ$4&lt;=$N$30),$I$30*$J$30*$C$30/$E$30,0)</f>
        <v/>
      </c>
      <c r="AK33" s="11">
        <f>IF(AND(AK$4&gt;=$M$30,AK$4&lt;=$N$30),$I$30*$J$30*$C$30/$E$30,0)</f>
        <v/>
      </c>
      <c r="AL33" s="11">
        <f>IF(AND(AL$4&gt;=$M$30,AL$4&lt;=$N$30),$I$30*$J$30*$C$30/$E$30,0)</f>
        <v/>
      </c>
      <c r="AM33" s="11">
        <f>IF(AND(AM$4&gt;=$M$30,AM$4&lt;=$N$30),$I$30*$J$30*$C$30/$E$30,0)</f>
        <v/>
      </c>
    </row>
    <row r="34">
      <c r="A34" s="26" t="inlineStr">
        <is>
          <t xml:space="preserve">   Success Fee Cash</t>
        </is>
      </c>
      <c r="P34" s="11">
        <f>IF(AND(P$4-$K$30&gt;=$M$30,P$4-$K$30&lt;=$N$30),$I$30*$J$30*$C$30/$E$30,0)</f>
        <v/>
      </c>
      <c r="Q34" s="11">
        <f>IF(AND(Q$4-$K$30&gt;=$M$30,Q$4-$K$30&lt;=$N$30),$I$30*$J$30*$C$30/$E$30,0)</f>
        <v/>
      </c>
      <c r="R34" s="11">
        <f>IF(AND(R$4-$K$30&gt;=$M$30,R$4-$K$30&lt;=$N$30),$I$30*$J$30*$C$30/$E$30,0)</f>
        <v/>
      </c>
      <c r="S34" s="11">
        <f>IF(AND(S$4-$K$30&gt;=$M$30,S$4-$K$30&lt;=$N$30),$I$30*$J$30*$C$30/$E$30,0)</f>
        <v/>
      </c>
      <c r="T34" s="11">
        <f>IF(AND(T$4-$K$30&gt;=$M$30,T$4-$K$30&lt;=$N$30),$I$30*$J$30*$C$30/$E$30,0)</f>
        <v/>
      </c>
      <c r="U34" s="11">
        <f>IF(AND(U$4-$K$30&gt;=$M$30,U$4-$K$30&lt;=$N$30),$I$30*$J$30*$C$30/$E$30,0)</f>
        <v/>
      </c>
      <c r="V34" s="11">
        <f>IF(AND(V$4-$K$30&gt;=$M$30,V$4-$K$30&lt;=$N$30),$I$30*$J$30*$C$30/$E$30,0)</f>
        <v/>
      </c>
      <c r="W34" s="11">
        <f>IF(AND(W$4-$K$30&gt;=$M$30,W$4-$K$30&lt;=$N$30),$I$30*$J$30*$C$30/$E$30,0)</f>
        <v/>
      </c>
      <c r="X34" s="11">
        <f>IF(AND(X$4-$K$30&gt;=$M$30,X$4-$K$30&lt;=$N$30),$I$30*$J$30*$C$30/$E$30,0)</f>
        <v/>
      </c>
      <c r="Y34" s="11">
        <f>IF(AND(Y$4-$K$30&gt;=$M$30,Y$4-$K$30&lt;=$N$30),$I$30*$J$30*$C$30/$E$30,0)</f>
        <v/>
      </c>
      <c r="Z34" s="11">
        <f>IF(AND(Z$4-$K$30&gt;=$M$30,Z$4-$K$30&lt;=$N$30),$I$30*$J$30*$C$30/$E$30,0)</f>
        <v/>
      </c>
      <c r="AA34" s="11">
        <f>IF(AND(AA$4-$K$30&gt;=$M$30,AA$4-$K$30&lt;=$N$30),$I$30*$J$30*$C$30/$E$30,0)</f>
        <v/>
      </c>
      <c r="AB34" s="11">
        <f>IF(AND(AB$4-$K$30&gt;=$M$30,AB$4-$K$30&lt;=$N$30),$I$30*$J$30*$C$30/$E$30,0)</f>
        <v/>
      </c>
      <c r="AC34" s="11">
        <f>IF(AND(AC$4-$K$30&gt;=$M$30,AC$4-$K$30&lt;=$N$30),$I$30*$J$30*$C$30/$E$30,0)</f>
        <v/>
      </c>
      <c r="AD34" s="11">
        <f>IF(AND(AD$4-$K$30&gt;=$M$30,AD$4-$K$30&lt;=$N$30),$I$30*$J$30*$C$30/$E$30,0)</f>
        <v/>
      </c>
      <c r="AE34" s="11">
        <f>IF(AND(AE$4-$K$30&gt;=$M$30,AE$4-$K$30&lt;=$N$30),$I$30*$J$30*$C$30/$E$30,0)</f>
        <v/>
      </c>
      <c r="AF34" s="11">
        <f>IF(AND(AF$4-$K$30&gt;=$M$30,AF$4-$K$30&lt;=$N$30),$I$30*$J$30*$C$30/$E$30,0)</f>
        <v/>
      </c>
      <c r="AG34" s="11">
        <f>IF(AND(AG$4-$K$30&gt;=$M$30,AG$4-$K$30&lt;=$N$30),$I$30*$J$30*$C$30/$E$30,0)</f>
        <v/>
      </c>
      <c r="AH34" s="11">
        <f>IF(AND(AH$4-$K$30&gt;=$M$30,AH$4-$K$30&lt;=$N$30),$I$30*$J$30*$C$30/$E$30,0)</f>
        <v/>
      </c>
      <c r="AI34" s="11">
        <f>IF(AND(AI$4-$K$30&gt;=$M$30,AI$4-$K$30&lt;=$N$30),$I$30*$J$30*$C$30/$E$30,0)</f>
        <v/>
      </c>
      <c r="AJ34" s="11">
        <f>IF(AND(AJ$4-$K$30&gt;=$M$30,AJ$4-$K$30&lt;=$N$30),$I$30*$J$30*$C$30/$E$30,0)</f>
        <v/>
      </c>
      <c r="AK34" s="11">
        <f>IF(AND(AK$4-$K$30&gt;=$M$30,AK$4-$K$30&lt;=$N$30),$I$30*$J$30*$C$30/$E$30,0)</f>
        <v/>
      </c>
      <c r="AL34" s="11">
        <f>IF(AND(AL$4-$K$30&gt;=$M$30,AL$4-$K$30&lt;=$N$30),$I$30*$J$30*$C$30/$E$30,0)</f>
        <v/>
      </c>
      <c r="AM34" s="11">
        <f>IF(AND(AM$4-$K$30&gt;=$M$30,AM$4-$K$30&lt;=$N$30),$I$30*$J$30*$C$30/$E$30,0)</f>
        <v/>
      </c>
    </row>
    <row r="36">
      <c r="A36" s="22" t="inlineStr">
        <is>
          <t>New Prospect A (sales pipeline)</t>
        </is>
      </c>
      <c r="B36" s="23" t="inlineStr">
        <is>
          <t>Pipeline</t>
        </is>
      </c>
      <c r="C36" s="5" t="n">
        <v>0.25</v>
      </c>
      <c r="D36" s="4" t="n">
        <v>24000</v>
      </c>
      <c r="E36" s="6" t="n">
        <v>12</v>
      </c>
      <c r="F36" s="24" t="n">
        <v>46266</v>
      </c>
      <c r="G36" s="23" t="inlineStr">
        <is>
          <t>Signing Month</t>
        </is>
      </c>
      <c r="H36" s="23" t="inlineStr">
        <is>
          <t>Lump Sum at Signing</t>
        </is>
      </c>
      <c r="I36" s="4" t="n">
        <v>4000</v>
      </c>
      <c r="J36" s="6" t="n">
        <v>8</v>
      </c>
      <c r="K36" s="6" t="n">
        <v>1</v>
      </c>
      <c r="L36" s="25">
        <f>YEAR(F36)*12+MONTH(F36)</f>
        <v/>
      </c>
      <c r="M36" s="25">
        <f>L36+IF(G36="Month After Signing",1,0)</f>
        <v/>
      </c>
      <c r="N36" s="25">
        <f>M36+E36-1</f>
        <v/>
      </c>
    </row>
    <row r="37">
      <c r="A37" s="26" t="inlineStr">
        <is>
          <t xml:space="preserve">   Contract Accrual</t>
        </is>
      </c>
      <c r="P37" s="11">
        <f>IF(AND(P$4&gt;=$M$36,P$4&lt;=$N$36),$D$36/$E$36*$C$36,0)</f>
        <v/>
      </c>
      <c r="Q37" s="11">
        <f>IF(AND(Q$4&gt;=$M$36,Q$4&lt;=$N$36),$D$36/$E$36*$C$36,0)</f>
        <v/>
      </c>
      <c r="R37" s="11">
        <f>IF(AND(R$4&gt;=$M$36,R$4&lt;=$N$36),$D$36/$E$36*$C$36,0)</f>
        <v/>
      </c>
      <c r="S37" s="11">
        <f>IF(AND(S$4&gt;=$M$36,S$4&lt;=$N$36),$D$36/$E$36*$C$36,0)</f>
        <v/>
      </c>
      <c r="T37" s="11">
        <f>IF(AND(T$4&gt;=$M$36,T$4&lt;=$N$36),$D$36/$E$36*$C$36,0)</f>
        <v/>
      </c>
      <c r="U37" s="11">
        <f>IF(AND(U$4&gt;=$M$36,U$4&lt;=$N$36),$D$36/$E$36*$C$36,0)</f>
        <v/>
      </c>
      <c r="V37" s="11">
        <f>IF(AND(V$4&gt;=$M$36,V$4&lt;=$N$36),$D$36/$E$36*$C$36,0)</f>
        <v/>
      </c>
      <c r="W37" s="11">
        <f>IF(AND(W$4&gt;=$M$36,W$4&lt;=$N$36),$D$36/$E$36*$C$36,0)</f>
        <v/>
      </c>
      <c r="X37" s="11">
        <f>IF(AND(X$4&gt;=$M$36,X$4&lt;=$N$36),$D$36/$E$36*$C$36,0)</f>
        <v/>
      </c>
      <c r="Y37" s="11">
        <f>IF(AND(Y$4&gt;=$M$36,Y$4&lt;=$N$36),$D$36/$E$36*$C$36,0)</f>
        <v/>
      </c>
      <c r="Z37" s="11">
        <f>IF(AND(Z$4&gt;=$M$36,Z$4&lt;=$N$36),$D$36/$E$36*$C$36,0)</f>
        <v/>
      </c>
      <c r="AA37" s="11">
        <f>IF(AND(AA$4&gt;=$M$36,AA$4&lt;=$N$36),$D$36/$E$36*$C$36,0)</f>
        <v/>
      </c>
      <c r="AB37" s="11">
        <f>IF(AND(AB$4&gt;=$M$36,AB$4&lt;=$N$36),$D$36/$E$36*$C$36,0)</f>
        <v/>
      </c>
      <c r="AC37" s="11">
        <f>IF(AND(AC$4&gt;=$M$36,AC$4&lt;=$N$36),$D$36/$E$36*$C$36,0)</f>
        <v/>
      </c>
      <c r="AD37" s="11">
        <f>IF(AND(AD$4&gt;=$M$36,AD$4&lt;=$N$36),$D$36/$E$36*$C$36,0)</f>
        <v/>
      </c>
      <c r="AE37" s="11">
        <f>IF(AND(AE$4&gt;=$M$36,AE$4&lt;=$N$36),$D$36/$E$36*$C$36,0)</f>
        <v/>
      </c>
      <c r="AF37" s="11">
        <f>IF(AND(AF$4&gt;=$M$36,AF$4&lt;=$N$36),$D$36/$E$36*$C$36,0)</f>
        <v/>
      </c>
      <c r="AG37" s="11">
        <f>IF(AND(AG$4&gt;=$M$36,AG$4&lt;=$N$36),$D$36/$E$36*$C$36,0)</f>
        <v/>
      </c>
      <c r="AH37" s="11">
        <f>IF(AND(AH$4&gt;=$M$36,AH$4&lt;=$N$36),$D$36/$E$36*$C$36,0)</f>
        <v/>
      </c>
      <c r="AI37" s="11">
        <f>IF(AND(AI$4&gt;=$M$36,AI$4&lt;=$N$36),$D$36/$E$36*$C$36,0)</f>
        <v/>
      </c>
      <c r="AJ37" s="11">
        <f>IF(AND(AJ$4&gt;=$M$36,AJ$4&lt;=$N$36),$D$36/$E$36*$C$36,0)</f>
        <v/>
      </c>
      <c r="AK37" s="11">
        <f>IF(AND(AK$4&gt;=$M$36,AK$4&lt;=$N$36),$D$36/$E$36*$C$36,0)</f>
        <v/>
      </c>
      <c r="AL37" s="11">
        <f>IF(AND(AL$4&gt;=$M$36,AL$4&lt;=$N$36),$D$36/$E$36*$C$36,0)</f>
        <v/>
      </c>
      <c r="AM37" s="11">
        <f>IF(AND(AM$4&gt;=$M$36,AM$4&lt;=$N$36),$D$36/$E$36*$C$36,0)</f>
        <v/>
      </c>
    </row>
    <row r="38">
      <c r="A38" s="26" t="inlineStr">
        <is>
          <t xml:space="preserve">   Contract Cash</t>
        </is>
      </c>
      <c r="P38" s="11">
        <f>IF($H$36="Lump Sum at Signing",IF(P$4=$L$36,$D$36*$C$36,0),IF(AND(P$4&gt;=$M$36,P$4&lt;=$N$36),$D$36/$E$36*$C$36,0))</f>
        <v/>
      </c>
      <c r="Q38" s="11">
        <f>IF($H$36="Lump Sum at Signing",IF(Q$4=$L$36,$D$36*$C$36,0),IF(AND(Q$4&gt;=$M$36,Q$4&lt;=$N$36),$D$36/$E$36*$C$36,0))</f>
        <v/>
      </c>
      <c r="R38" s="11">
        <f>IF($H$36="Lump Sum at Signing",IF(R$4=$L$36,$D$36*$C$36,0),IF(AND(R$4&gt;=$M$36,R$4&lt;=$N$36),$D$36/$E$36*$C$36,0))</f>
        <v/>
      </c>
      <c r="S38" s="11">
        <f>IF($H$36="Lump Sum at Signing",IF(S$4=$L$36,$D$36*$C$36,0),IF(AND(S$4&gt;=$M$36,S$4&lt;=$N$36),$D$36/$E$36*$C$36,0))</f>
        <v/>
      </c>
      <c r="T38" s="11">
        <f>IF($H$36="Lump Sum at Signing",IF(T$4=$L$36,$D$36*$C$36,0),IF(AND(T$4&gt;=$M$36,T$4&lt;=$N$36),$D$36/$E$36*$C$36,0))</f>
        <v/>
      </c>
      <c r="U38" s="11">
        <f>IF($H$36="Lump Sum at Signing",IF(U$4=$L$36,$D$36*$C$36,0),IF(AND(U$4&gt;=$M$36,U$4&lt;=$N$36),$D$36/$E$36*$C$36,0))</f>
        <v/>
      </c>
      <c r="V38" s="11">
        <f>IF($H$36="Lump Sum at Signing",IF(V$4=$L$36,$D$36*$C$36,0),IF(AND(V$4&gt;=$M$36,V$4&lt;=$N$36),$D$36/$E$36*$C$36,0))</f>
        <v/>
      </c>
      <c r="W38" s="11">
        <f>IF($H$36="Lump Sum at Signing",IF(W$4=$L$36,$D$36*$C$36,0),IF(AND(W$4&gt;=$M$36,W$4&lt;=$N$36),$D$36/$E$36*$C$36,0))</f>
        <v/>
      </c>
      <c r="X38" s="11">
        <f>IF($H$36="Lump Sum at Signing",IF(X$4=$L$36,$D$36*$C$36,0),IF(AND(X$4&gt;=$M$36,X$4&lt;=$N$36),$D$36/$E$36*$C$36,0))</f>
        <v/>
      </c>
      <c r="Y38" s="11">
        <f>IF($H$36="Lump Sum at Signing",IF(Y$4=$L$36,$D$36*$C$36,0),IF(AND(Y$4&gt;=$M$36,Y$4&lt;=$N$36),$D$36/$E$36*$C$36,0))</f>
        <v/>
      </c>
      <c r="Z38" s="11">
        <f>IF($H$36="Lump Sum at Signing",IF(Z$4=$L$36,$D$36*$C$36,0),IF(AND(Z$4&gt;=$M$36,Z$4&lt;=$N$36),$D$36/$E$36*$C$36,0))</f>
        <v/>
      </c>
      <c r="AA38" s="11">
        <f>IF($H$36="Lump Sum at Signing",IF(AA$4=$L$36,$D$36*$C$36,0),IF(AND(AA$4&gt;=$M$36,AA$4&lt;=$N$36),$D$36/$E$36*$C$36,0))</f>
        <v/>
      </c>
      <c r="AB38" s="11">
        <f>IF($H$36="Lump Sum at Signing",IF(AB$4=$L$36,$D$36*$C$36,0),IF(AND(AB$4&gt;=$M$36,AB$4&lt;=$N$36),$D$36/$E$36*$C$36,0))</f>
        <v/>
      </c>
      <c r="AC38" s="11">
        <f>IF($H$36="Lump Sum at Signing",IF(AC$4=$L$36,$D$36*$C$36,0),IF(AND(AC$4&gt;=$M$36,AC$4&lt;=$N$36),$D$36/$E$36*$C$36,0))</f>
        <v/>
      </c>
      <c r="AD38" s="11">
        <f>IF($H$36="Lump Sum at Signing",IF(AD$4=$L$36,$D$36*$C$36,0),IF(AND(AD$4&gt;=$M$36,AD$4&lt;=$N$36),$D$36/$E$36*$C$36,0))</f>
        <v/>
      </c>
      <c r="AE38" s="11">
        <f>IF($H$36="Lump Sum at Signing",IF(AE$4=$L$36,$D$36*$C$36,0),IF(AND(AE$4&gt;=$M$36,AE$4&lt;=$N$36),$D$36/$E$36*$C$36,0))</f>
        <v/>
      </c>
      <c r="AF38" s="11">
        <f>IF($H$36="Lump Sum at Signing",IF(AF$4=$L$36,$D$36*$C$36,0),IF(AND(AF$4&gt;=$M$36,AF$4&lt;=$N$36),$D$36/$E$36*$C$36,0))</f>
        <v/>
      </c>
      <c r="AG38" s="11">
        <f>IF($H$36="Lump Sum at Signing",IF(AG$4=$L$36,$D$36*$C$36,0),IF(AND(AG$4&gt;=$M$36,AG$4&lt;=$N$36),$D$36/$E$36*$C$36,0))</f>
        <v/>
      </c>
      <c r="AH38" s="11">
        <f>IF($H$36="Lump Sum at Signing",IF(AH$4=$L$36,$D$36*$C$36,0),IF(AND(AH$4&gt;=$M$36,AH$4&lt;=$N$36),$D$36/$E$36*$C$36,0))</f>
        <v/>
      </c>
      <c r="AI38" s="11">
        <f>IF($H$36="Lump Sum at Signing",IF(AI$4=$L$36,$D$36*$C$36,0),IF(AND(AI$4&gt;=$M$36,AI$4&lt;=$N$36),$D$36/$E$36*$C$36,0))</f>
        <v/>
      </c>
      <c r="AJ38" s="11">
        <f>IF($H$36="Lump Sum at Signing",IF(AJ$4=$L$36,$D$36*$C$36,0),IF(AND(AJ$4&gt;=$M$36,AJ$4&lt;=$N$36),$D$36/$E$36*$C$36,0))</f>
        <v/>
      </c>
      <c r="AK38" s="11">
        <f>IF($H$36="Lump Sum at Signing",IF(AK$4=$L$36,$D$36*$C$36,0),IF(AND(AK$4&gt;=$M$36,AK$4&lt;=$N$36),$D$36/$E$36*$C$36,0))</f>
        <v/>
      </c>
      <c r="AL38" s="11">
        <f>IF($H$36="Lump Sum at Signing",IF(AL$4=$L$36,$D$36*$C$36,0),IF(AND(AL$4&gt;=$M$36,AL$4&lt;=$N$36),$D$36/$E$36*$C$36,0))</f>
        <v/>
      </c>
      <c r="AM38" s="11">
        <f>IF($H$36="Lump Sum at Signing",IF(AM$4=$L$36,$D$36*$C$36,0),IF(AND(AM$4&gt;=$M$36,AM$4&lt;=$N$36),$D$36/$E$36*$C$36,0))</f>
        <v/>
      </c>
    </row>
    <row r="39">
      <c r="A39" s="26" t="inlineStr">
        <is>
          <t xml:space="preserve">   Success Fee Accrual</t>
        </is>
      </c>
      <c r="P39" s="11">
        <f>IF(AND(P$4&gt;=$M$36,P$4&lt;=$N$36),$I$36*$J$36*$C$36/$E$36,0)</f>
        <v/>
      </c>
      <c r="Q39" s="11">
        <f>IF(AND(Q$4&gt;=$M$36,Q$4&lt;=$N$36),$I$36*$J$36*$C$36/$E$36,0)</f>
        <v/>
      </c>
      <c r="R39" s="11">
        <f>IF(AND(R$4&gt;=$M$36,R$4&lt;=$N$36),$I$36*$J$36*$C$36/$E$36,0)</f>
        <v/>
      </c>
      <c r="S39" s="11">
        <f>IF(AND(S$4&gt;=$M$36,S$4&lt;=$N$36),$I$36*$J$36*$C$36/$E$36,0)</f>
        <v/>
      </c>
      <c r="T39" s="11">
        <f>IF(AND(T$4&gt;=$M$36,T$4&lt;=$N$36),$I$36*$J$36*$C$36/$E$36,0)</f>
        <v/>
      </c>
      <c r="U39" s="11">
        <f>IF(AND(U$4&gt;=$M$36,U$4&lt;=$N$36),$I$36*$J$36*$C$36/$E$36,0)</f>
        <v/>
      </c>
      <c r="V39" s="11">
        <f>IF(AND(V$4&gt;=$M$36,V$4&lt;=$N$36),$I$36*$J$36*$C$36/$E$36,0)</f>
        <v/>
      </c>
      <c r="W39" s="11">
        <f>IF(AND(W$4&gt;=$M$36,W$4&lt;=$N$36),$I$36*$J$36*$C$36/$E$36,0)</f>
        <v/>
      </c>
      <c r="X39" s="11">
        <f>IF(AND(X$4&gt;=$M$36,X$4&lt;=$N$36),$I$36*$J$36*$C$36/$E$36,0)</f>
        <v/>
      </c>
      <c r="Y39" s="11">
        <f>IF(AND(Y$4&gt;=$M$36,Y$4&lt;=$N$36),$I$36*$J$36*$C$36/$E$36,0)</f>
        <v/>
      </c>
      <c r="Z39" s="11">
        <f>IF(AND(Z$4&gt;=$M$36,Z$4&lt;=$N$36),$I$36*$J$36*$C$36/$E$36,0)</f>
        <v/>
      </c>
      <c r="AA39" s="11">
        <f>IF(AND(AA$4&gt;=$M$36,AA$4&lt;=$N$36),$I$36*$J$36*$C$36/$E$36,0)</f>
        <v/>
      </c>
      <c r="AB39" s="11">
        <f>IF(AND(AB$4&gt;=$M$36,AB$4&lt;=$N$36),$I$36*$J$36*$C$36/$E$36,0)</f>
        <v/>
      </c>
      <c r="AC39" s="11">
        <f>IF(AND(AC$4&gt;=$M$36,AC$4&lt;=$N$36),$I$36*$J$36*$C$36/$E$36,0)</f>
        <v/>
      </c>
      <c r="AD39" s="11">
        <f>IF(AND(AD$4&gt;=$M$36,AD$4&lt;=$N$36),$I$36*$J$36*$C$36/$E$36,0)</f>
        <v/>
      </c>
      <c r="AE39" s="11">
        <f>IF(AND(AE$4&gt;=$M$36,AE$4&lt;=$N$36),$I$36*$J$36*$C$36/$E$36,0)</f>
        <v/>
      </c>
      <c r="AF39" s="11">
        <f>IF(AND(AF$4&gt;=$M$36,AF$4&lt;=$N$36),$I$36*$J$36*$C$36/$E$36,0)</f>
        <v/>
      </c>
      <c r="AG39" s="11">
        <f>IF(AND(AG$4&gt;=$M$36,AG$4&lt;=$N$36),$I$36*$J$36*$C$36/$E$36,0)</f>
        <v/>
      </c>
      <c r="AH39" s="11">
        <f>IF(AND(AH$4&gt;=$M$36,AH$4&lt;=$N$36),$I$36*$J$36*$C$36/$E$36,0)</f>
        <v/>
      </c>
      <c r="AI39" s="11">
        <f>IF(AND(AI$4&gt;=$M$36,AI$4&lt;=$N$36),$I$36*$J$36*$C$36/$E$36,0)</f>
        <v/>
      </c>
      <c r="AJ39" s="11">
        <f>IF(AND(AJ$4&gt;=$M$36,AJ$4&lt;=$N$36),$I$36*$J$36*$C$36/$E$36,0)</f>
        <v/>
      </c>
      <c r="AK39" s="11">
        <f>IF(AND(AK$4&gt;=$M$36,AK$4&lt;=$N$36),$I$36*$J$36*$C$36/$E$36,0)</f>
        <v/>
      </c>
      <c r="AL39" s="11">
        <f>IF(AND(AL$4&gt;=$M$36,AL$4&lt;=$N$36),$I$36*$J$36*$C$36/$E$36,0)</f>
        <v/>
      </c>
      <c r="AM39" s="11">
        <f>IF(AND(AM$4&gt;=$M$36,AM$4&lt;=$N$36),$I$36*$J$36*$C$36/$E$36,0)</f>
        <v/>
      </c>
    </row>
    <row r="40">
      <c r="A40" s="26" t="inlineStr">
        <is>
          <t xml:space="preserve">   Success Fee Cash</t>
        </is>
      </c>
      <c r="P40" s="11">
        <f>IF(AND(P$4-$K$36&gt;=$M$36,P$4-$K$36&lt;=$N$36),$I$36*$J$36*$C$36/$E$36,0)</f>
        <v/>
      </c>
      <c r="Q40" s="11">
        <f>IF(AND(Q$4-$K$36&gt;=$M$36,Q$4-$K$36&lt;=$N$36),$I$36*$J$36*$C$36/$E$36,0)</f>
        <v/>
      </c>
      <c r="R40" s="11">
        <f>IF(AND(R$4-$K$36&gt;=$M$36,R$4-$K$36&lt;=$N$36),$I$36*$J$36*$C$36/$E$36,0)</f>
        <v/>
      </c>
      <c r="S40" s="11">
        <f>IF(AND(S$4-$K$36&gt;=$M$36,S$4-$K$36&lt;=$N$36),$I$36*$J$36*$C$36/$E$36,0)</f>
        <v/>
      </c>
      <c r="T40" s="11">
        <f>IF(AND(T$4-$K$36&gt;=$M$36,T$4-$K$36&lt;=$N$36),$I$36*$J$36*$C$36/$E$36,0)</f>
        <v/>
      </c>
      <c r="U40" s="11">
        <f>IF(AND(U$4-$K$36&gt;=$M$36,U$4-$K$36&lt;=$N$36),$I$36*$J$36*$C$36/$E$36,0)</f>
        <v/>
      </c>
      <c r="V40" s="11">
        <f>IF(AND(V$4-$K$36&gt;=$M$36,V$4-$K$36&lt;=$N$36),$I$36*$J$36*$C$36/$E$36,0)</f>
        <v/>
      </c>
      <c r="W40" s="11">
        <f>IF(AND(W$4-$K$36&gt;=$M$36,W$4-$K$36&lt;=$N$36),$I$36*$J$36*$C$36/$E$36,0)</f>
        <v/>
      </c>
      <c r="X40" s="11">
        <f>IF(AND(X$4-$K$36&gt;=$M$36,X$4-$K$36&lt;=$N$36),$I$36*$J$36*$C$36/$E$36,0)</f>
        <v/>
      </c>
      <c r="Y40" s="11">
        <f>IF(AND(Y$4-$K$36&gt;=$M$36,Y$4-$K$36&lt;=$N$36),$I$36*$J$36*$C$36/$E$36,0)</f>
        <v/>
      </c>
      <c r="Z40" s="11">
        <f>IF(AND(Z$4-$K$36&gt;=$M$36,Z$4-$K$36&lt;=$N$36),$I$36*$J$36*$C$36/$E$36,0)</f>
        <v/>
      </c>
      <c r="AA40" s="11">
        <f>IF(AND(AA$4-$K$36&gt;=$M$36,AA$4-$K$36&lt;=$N$36),$I$36*$J$36*$C$36/$E$36,0)</f>
        <v/>
      </c>
      <c r="AB40" s="11">
        <f>IF(AND(AB$4-$K$36&gt;=$M$36,AB$4-$K$36&lt;=$N$36),$I$36*$J$36*$C$36/$E$36,0)</f>
        <v/>
      </c>
      <c r="AC40" s="11">
        <f>IF(AND(AC$4-$K$36&gt;=$M$36,AC$4-$K$36&lt;=$N$36),$I$36*$J$36*$C$36/$E$36,0)</f>
        <v/>
      </c>
      <c r="AD40" s="11">
        <f>IF(AND(AD$4-$K$36&gt;=$M$36,AD$4-$K$36&lt;=$N$36),$I$36*$J$36*$C$36/$E$36,0)</f>
        <v/>
      </c>
      <c r="AE40" s="11">
        <f>IF(AND(AE$4-$K$36&gt;=$M$36,AE$4-$K$36&lt;=$N$36),$I$36*$J$36*$C$36/$E$36,0)</f>
        <v/>
      </c>
      <c r="AF40" s="11">
        <f>IF(AND(AF$4-$K$36&gt;=$M$36,AF$4-$K$36&lt;=$N$36),$I$36*$J$36*$C$36/$E$36,0)</f>
        <v/>
      </c>
      <c r="AG40" s="11">
        <f>IF(AND(AG$4-$K$36&gt;=$M$36,AG$4-$K$36&lt;=$N$36),$I$36*$J$36*$C$36/$E$36,0)</f>
        <v/>
      </c>
      <c r="AH40" s="11">
        <f>IF(AND(AH$4-$K$36&gt;=$M$36,AH$4-$K$36&lt;=$N$36),$I$36*$J$36*$C$36/$E$36,0)</f>
        <v/>
      </c>
      <c r="AI40" s="11">
        <f>IF(AND(AI$4-$K$36&gt;=$M$36,AI$4-$K$36&lt;=$N$36),$I$36*$J$36*$C$36/$E$36,0)</f>
        <v/>
      </c>
      <c r="AJ40" s="11">
        <f>IF(AND(AJ$4-$K$36&gt;=$M$36,AJ$4-$K$36&lt;=$N$36),$I$36*$J$36*$C$36/$E$36,0)</f>
        <v/>
      </c>
      <c r="AK40" s="11">
        <f>IF(AND(AK$4-$K$36&gt;=$M$36,AK$4-$K$36&lt;=$N$36),$I$36*$J$36*$C$36/$E$36,0)</f>
        <v/>
      </c>
      <c r="AL40" s="11">
        <f>IF(AND(AL$4-$K$36&gt;=$M$36,AL$4-$K$36&lt;=$N$36),$I$36*$J$36*$C$36/$E$36,0)</f>
        <v/>
      </c>
      <c r="AM40" s="11">
        <f>IF(AND(AM$4-$K$36&gt;=$M$36,AM$4-$K$36&lt;=$N$36),$I$36*$J$36*$C$36/$E$36,0)</f>
        <v/>
      </c>
    </row>
    <row r="42">
      <c r="A42" s="2" t="inlineStr">
        <is>
          <t>TOTAL Accrual Revenue (all deals, probability-weighted)</t>
        </is>
      </c>
      <c r="P42" s="12">
        <f>SUM(P7,P9,P13,P15,P19,P21,P25,P27,P31,P33,P37,P39)</f>
        <v/>
      </c>
      <c r="Q42" s="12">
        <f>SUM(Q7,Q9,Q13,Q15,Q19,Q21,Q25,Q27,Q31,Q33,Q37,Q39)</f>
        <v/>
      </c>
      <c r="R42" s="12">
        <f>SUM(R7,R9,R13,R15,R19,R21,R25,R27,R31,R33,R37,R39)</f>
        <v/>
      </c>
      <c r="S42" s="12">
        <f>SUM(S7,S9,S13,S15,S19,S21,S25,S27,S31,S33,S37,S39)</f>
        <v/>
      </c>
      <c r="T42" s="12">
        <f>SUM(T7,T9,T13,T15,T19,T21,T25,T27,T31,T33,T37,T39)</f>
        <v/>
      </c>
      <c r="U42" s="12">
        <f>SUM(U7,U9,U13,U15,U19,U21,U25,U27,U31,U33,U37,U39)</f>
        <v/>
      </c>
      <c r="V42" s="12">
        <f>SUM(V7,V9,V13,V15,V19,V21,V25,V27,V31,V33,V37,V39)</f>
        <v/>
      </c>
      <c r="W42" s="12">
        <f>SUM(W7,W9,W13,W15,W19,W21,W25,W27,W31,W33,W37,W39)</f>
        <v/>
      </c>
      <c r="X42" s="12">
        <f>SUM(X7,X9,X13,X15,X19,X21,X25,X27,X31,X33,X37,X39)</f>
        <v/>
      </c>
      <c r="Y42" s="12">
        <f>SUM(Y7,Y9,Y13,Y15,Y19,Y21,Y25,Y27,Y31,Y33,Y37,Y39)</f>
        <v/>
      </c>
      <c r="Z42" s="12">
        <f>SUM(Z7,Z9,Z13,Z15,Z19,Z21,Z25,Z27,Z31,Z33,Z37,Z39)</f>
        <v/>
      </c>
      <c r="AA42" s="12">
        <f>SUM(AA7,AA9,AA13,AA15,AA19,AA21,AA25,AA27,AA31,AA33,AA37,AA39)</f>
        <v/>
      </c>
      <c r="AB42" s="12">
        <f>SUM(AB7,AB9,AB13,AB15,AB19,AB21,AB25,AB27,AB31,AB33,AB37,AB39)</f>
        <v/>
      </c>
      <c r="AC42" s="12">
        <f>SUM(AC7,AC9,AC13,AC15,AC19,AC21,AC25,AC27,AC31,AC33,AC37,AC39)</f>
        <v/>
      </c>
      <c r="AD42" s="12">
        <f>SUM(AD7,AD9,AD13,AD15,AD19,AD21,AD25,AD27,AD31,AD33,AD37,AD39)</f>
        <v/>
      </c>
      <c r="AE42" s="12">
        <f>SUM(AE7,AE9,AE13,AE15,AE19,AE21,AE25,AE27,AE31,AE33,AE37,AE39)</f>
        <v/>
      </c>
      <c r="AF42" s="12">
        <f>SUM(AF7,AF9,AF13,AF15,AF19,AF21,AF25,AF27,AF31,AF33,AF37,AF39)</f>
        <v/>
      </c>
      <c r="AG42" s="12">
        <f>SUM(AG7,AG9,AG13,AG15,AG19,AG21,AG25,AG27,AG31,AG33,AG37,AG39)</f>
        <v/>
      </c>
      <c r="AH42" s="12">
        <f>SUM(AH7,AH9,AH13,AH15,AH19,AH21,AH25,AH27,AH31,AH33,AH37,AH39)</f>
        <v/>
      </c>
      <c r="AI42" s="12">
        <f>SUM(AI7,AI9,AI13,AI15,AI19,AI21,AI25,AI27,AI31,AI33,AI37,AI39)</f>
        <v/>
      </c>
      <c r="AJ42" s="12">
        <f>SUM(AJ7,AJ9,AJ13,AJ15,AJ19,AJ21,AJ25,AJ27,AJ31,AJ33,AJ37,AJ39)</f>
        <v/>
      </c>
      <c r="AK42" s="12">
        <f>SUM(AK7,AK9,AK13,AK15,AK19,AK21,AK25,AK27,AK31,AK33,AK37,AK39)</f>
        <v/>
      </c>
      <c r="AL42" s="12">
        <f>SUM(AL7,AL9,AL13,AL15,AL19,AL21,AL25,AL27,AL31,AL33,AL37,AL39)</f>
        <v/>
      </c>
      <c r="AM42" s="12">
        <f>SUM(AM7,AM9,AM13,AM15,AM19,AM21,AM25,AM27,AM31,AM33,AM37,AM39)</f>
        <v/>
      </c>
    </row>
    <row r="43">
      <c r="A43" s="2" t="inlineStr">
        <is>
          <t>TOTAL Cash In (all deals, probability-weighted)</t>
        </is>
      </c>
      <c r="P43" s="12">
        <f>SUM(P8,P10,P14,P16,P20,P22,P26,P28,P32,P34,P38,P40)</f>
        <v/>
      </c>
      <c r="Q43" s="12">
        <f>SUM(Q8,Q10,Q14,Q16,Q20,Q22,Q26,Q28,Q32,Q34,Q38,Q40)</f>
        <v/>
      </c>
      <c r="R43" s="12">
        <f>SUM(R8,R10,R14,R16,R20,R22,R26,R28,R32,R34,R38,R40)</f>
        <v/>
      </c>
      <c r="S43" s="12">
        <f>SUM(S8,S10,S14,S16,S20,S22,S26,S28,S32,S34,S38,S40)</f>
        <v/>
      </c>
      <c r="T43" s="12">
        <f>SUM(T8,T10,T14,T16,T20,T22,T26,T28,T32,T34,T38,T40)</f>
        <v/>
      </c>
      <c r="U43" s="12">
        <f>SUM(U8,U10,U14,U16,U20,U22,U26,U28,U32,U34,U38,U40)</f>
        <v/>
      </c>
      <c r="V43" s="12">
        <f>SUM(V8,V10,V14,V16,V20,V22,V26,V28,V32,V34,V38,V40)</f>
        <v/>
      </c>
      <c r="W43" s="12">
        <f>SUM(W8,W10,W14,W16,W20,W22,W26,W28,W32,W34,W38,W40)</f>
        <v/>
      </c>
      <c r="X43" s="12">
        <f>SUM(X8,X10,X14,X16,X20,X22,X26,X28,X32,X34,X38,X40)</f>
        <v/>
      </c>
      <c r="Y43" s="12">
        <f>SUM(Y8,Y10,Y14,Y16,Y20,Y22,Y26,Y28,Y32,Y34,Y38,Y40)</f>
        <v/>
      </c>
      <c r="Z43" s="12">
        <f>SUM(Z8,Z10,Z14,Z16,Z20,Z22,Z26,Z28,Z32,Z34,Z38,Z40)</f>
        <v/>
      </c>
      <c r="AA43" s="12">
        <f>SUM(AA8,AA10,AA14,AA16,AA20,AA22,AA26,AA28,AA32,AA34,AA38,AA40)</f>
        <v/>
      </c>
      <c r="AB43" s="12">
        <f>SUM(AB8,AB10,AB14,AB16,AB20,AB22,AB26,AB28,AB32,AB34,AB38,AB40)</f>
        <v/>
      </c>
      <c r="AC43" s="12">
        <f>SUM(AC8,AC10,AC14,AC16,AC20,AC22,AC26,AC28,AC32,AC34,AC38,AC40)</f>
        <v/>
      </c>
      <c r="AD43" s="12">
        <f>SUM(AD8,AD10,AD14,AD16,AD20,AD22,AD26,AD28,AD32,AD34,AD38,AD40)</f>
        <v/>
      </c>
      <c r="AE43" s="12">
        <f>SUM(AE8,AE10,AE14,AE16,AE20,AE22,AE26,AE28,AE32,AE34,AE38,AE40)</f>
        <v/>
      </c>
      <c r="AF43" s="12">
        <f>SUM(AF8,AF10,AF14,AF16,AF20,AF22,AF26,AF28,AF32,AF34,AF38,AF40)</f>
        <v/>
      </c>
      <c r="AG43" s="12">
        <f>SUM(AG8,AG10,AG14,AG16,AG20,AG22,AG26,AG28,AG32,AG34,AG38,AG40)</f>
        <v/>
      </c>
      <c r="AH43" s="12">
        <f>SUM(AH8,AH10,AH14,AH16,AH20,AH22,AH26,AH28,AH32,AH34,AH38,AH40)</f>
        <v/>
      </c>
      <c r="AI43" s="12">
        <f>SUM(AI8,AI10,AI14,AI16,AI20,AI22,AI26,AI28,AI32,AI34,AI38,AI40)</f>
        <v/>
      </c>
      <c r="AJ43" s="12">
        <f>SUM(AJ8,AJ10,AJ14,AJ16,AJ20,AJ22,AJ26,AJ28,AJ32,AJ34,AJ38,AJ40)</f>
        <v/>
      </c>
      <c r="AK43" s="12">
        <f>SUM(AK8,AK10,AK14,AK16,AK20,AK22,AK26,AK28,AK32,AK34,AK38,AK40)</f>
        <v/>
      </c>
      <c r="AL43" s="12">
        <f>SUM(AL8,AL10,AL14,AL16,AL20,AL22,AL26,AL28,AL32,AL34,AL38,AL40)</f>
        <v/>
      </c>
      <c r="AM43" s="12">
        <f>SUM(AM8,AM10,AM14,AM16,AM20,AM22,AM26,AM28,AM32,AM34,AM38,AM40)</f>
        <v/>
      </c>
    </row>
  </sheetData>
  <mergeCells count="1">
    <mergeCell ref="A1:AM1"/>
  </mergeCells>
  <dataValidations count="3">
    <dataValidation sqref="B6 B12 B18 B24 B30 B36" showDropDown="0" showInputMessage="0" showErrorMessage="0" allowBlank="1" type="list">
      <formula1>"Signed,Pipeline"</formula1>
    </dataValidation>
    <dataValidation sqref="G6 G12 G18 G24 G30 G36" showDropDown="0" showInputMessage="0" showErrorMessage="0" allowBlank="1" type="list">
      <formula1>"Signing Month,Month After Signing"</formula1>
    </dataValidation>
    <dataValidation sqref="H6 H12 H18 H24 H30 H36" showDropDown="0" showInputMessage="0" showErrorMessage="0" allowBlank="1" type="list">
      <formula1>"Lump Sum at Signing,Spread Monthly (=Accrual)"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20" customWidth="1" min="3" max="3"/>
    <col width="20" customWidth="1" min="4" max="4"/>
    <col width="30" customWidth="1" min="5" max="5"/>
    <col width="20" customWidth="1" min="6" max="6"/>
  </cols>
  <sheetData>
    <row r="1" ht="26" customHeight="1">
      <c r="A1" s="1" t="inlineStr">
        <is>
          <t>Questions for Brennan</t>
        </is>
      </c>
    </row>
    <row r="3">
      <c r="A3" s="13" t="inlineStr">
        <is>
          <t>#</t>
        </is>
      </c>
      <c r="B3" s="13" t="inlineStr">
        <is>
          <t>Question</t>
        </is>
      </c>
      <c r="E3" s="13" t="inlineStr">
        <is>
          <t>Where it feeds the model / notes</t>
        </is>
      </c>
    </row>
    <row r="4" ht="48" customHeight="1">
      <c r="A4" s="27" t="inlineStr">
        <is>
          <t>1.</t>
        </is>
      </c>
      <c r="B4" s="28" t="inlineStr">
        <is>
          <t>On the CSM side, beyond the current contract, is there a field that flags upcoming pipeline (renewals or expansions) with some kind of probability or likelihood of closing already attached to it?</t>
        </is>
      </c>
      <c r="E4" s="29" t="inlineStr">
        <is>
          <t>See Sheet 3 columns B/C (Stage / Probability %) -- if this already exists in the CRM, we pull it directly instead of guessing.</t>
        </is>
      </c>
    </row>
    <row r="6" ht="48" customHeight="1">
      <c r="A6" s="27" t="inlineStr">
        <is>
          <t>2.</t>
        </is>
      </c>
      <c r="B6" s="28" t="inlineStr">
        <is>
          <t>If that doesn't exist, would it make more sense for us to define our own renewal-rate metric based on specific conditions (contract type, tenure, engagement, etc.)? Just want to check before we build something that might already exist on your end.</t>
        </is>
      </c>
      <c r="E6" s="29" t="inlineStr">
        <is>
          <t>If we own this, it becomes the Probability % column ourselves, driven by rules we set.</t>
        </is>
      </c>
    </row>
    <row r="8" ht="48" customHeight="1">
      <c r="A8" s="27" t="inlineStr">
        <is>
          <t>3.</t>
        </is>
      </c>
      <c r="B8" s="28" t="inlineStr">
        <is>
          <t>For each contract: what's the actual contract value, term length (months), and signing date, and does the CRM already track these as structured fields (not just free text in a contract PDF)?</t>
        </is>
      </c>
      <c r="E8" s="29" t="inlineStr">
        <is>
          <t>Feeds Sheet 3 columns D/E/F directly.</t>
        </is>
      </c>
    </row>
    <row r="10" ht="48" customHeight="1">
      <c r="A10" s="27" t="inlineStr">
        <is>
          <t>4.</t>
        </is>
      </c>
      <c r="B10" s="28" t="inlineStr">
        <is>
          <t>For success fees specifically: can we get (or will the September internal system provide) a per-meeting log -- date the meeting happened vs. date it gets invoiced -- so the Invoice Lag column (K) is a real number per customer instead of one assumed lag for everyone?</t>
        </is>
      </c>
      <c r="E10" s="29" t="inlineStr"/>
    </row>
  </sheetData>
  <mergeCells count="9">
    <mergeCell ref="B10:D10"/>
    <mergeCell ref="E4:F4"/>
    <mergeCell ref="E6:F6"/>
    <mergeCell ref="E10:F10"/>
    <mergeCell ref="A1:F1"/>
    <mergeCell ref="B8:D8"/>
    <mergeCell ref="B4:D4"/>
    <mergeCell ref="B6:D6"/>
    <mergeCell ref="E8:F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2026-08-31T19:13:10Z</dcterms:created>
  <dcterms:modified xmlns:dcterms="http://purl.org/dc/terms/" xmlns:xsi="http://www.w3.org/2001/XMLSchema-instance" xsi:type="dcterms:W3CDTF">2026-08-31T19:13:10Z</dcterms:modified>
</cp:coreProperties>
</file>