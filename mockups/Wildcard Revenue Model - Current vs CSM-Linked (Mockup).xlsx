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d833c69bef18a79/Desktop/Wildcard Vercel Project/mockups/"/>
    </mc:Choice>
  </mc:AlternateContent>
  <xr:revisionPtr revIDLastSave="1" documentId="11_AA55FA5F525093D2DFCFDF1E6176B413AE4CA3CC" xr6:coauthVersionLast="47" xr6:coauthVersionMax="47" xr10:uidLastSave="{F72FB9DC-9DD7-4559-BDBF-6E2C768F0D0A}"/>
  <bookViews>
    <workbookView xWindow="-108" yWindow="-108" windowWidth="23256" windowHeight="14616" activeTab="2" xr2:uid="{00000000-000D-0000-FFFF-FFFF00000000}"/>
  </bookViews>
  <sheets>
    <sheet name="1. Current - Aggregate" sheetId="1" r:id="rId1"/>
    <sheet name="2. Current - Per Customer" sheetId="2" r:id="rId2"/>
    <sheet name="3. New - CSM-Linked" sheetId="3" r:id="rId3"/>
    <sheet name="Questions for Brenn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3" l="1"/>
  <c r="AI43" i="3"/>
  <c r="AH43" i="3"/>
  <c r="AF43" i="3"/>
  <c r="AD43" i="3"/>
  <c r="W43" i="3"/>
  <c r="V43" i="3"/>
  <c r="T43" i="3"/>
  <c r="R43" i="3"/>
  <c r="L41" i="3"/>
  <c r="M41" i="3" s="1"/>
  <c r="L35" i="3"/>
  <c r="M35" i="3" s="1"/>
  <c r="X32" i="3"/>
  <c r="X30" i="3"/>
  <c r="M29" i="3"/>
  <c r="N29" i="3" s="1"/>
  <c r="L29" i="3"/>
  <c r="AM25" i="3"/>
  <c r="AF25" i="3"/>
  <c r="AE25" i="3"/>
  <c r="AA25" i="3"/>
  <c r="T25" i="3"/>
  <c r="S25" i="3"/>
  <c r="L23" i="3"/>
  <c r="AI25" i="3" s="1"/>
  <c r="L17" i="3"/>
  <c r="M17" i="3" s="1"/>
  <c r="L11" i="3"/>
  <c r="M11" i="3" s="1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Z33" i="3" s="1"/>
  <c r="Y9" i="3"/>
  <c r="X9" i="3"/>
  <c r="W9" i="3"/>
  <c r="V9" i="3"/>
  <c r="U9" i="3"/>
  <c r="T9" i="3"/>
  <c r="S9" i="3"/>
  <c r="R9" i="3"/>
  <c r="Q9" i="3"/>
  <c r="P9" i="3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AA9" i="2"/>
  <c r="AA31" i="2" s="1"/>
  <c r="Z9" i="2"/>
  <c r="Z31" i="2" s="1"/>
  <c r="Y9" i="2"/>
  <c r="Y31" i="2" s="1"/>
  <c r="X9" i="2"/>
  <c r="X31" i="2" s="1"/>
  <c r="W9" i="2"/>
  <c r="W31" i="2" s="1"/>
  <c r="V9" i="2"/>
  <c r="V31" i="2" s="1"/>
  <c r="U9" i="2"/>
  <c r="U31" i="2" s="1"/>
  <c r="T9" i="2"/>
  <c r="T31" i="2" s="1"/>
  <c r="S9" i="2"/>
  <c r="S31" i="2" s="1"/>
  <c r="R9" i="2"/>
  <c r="R31" i="2" s="1"/>
  <c r="Q9" i="2"/>
  <c r="Q31" i="2" s="1"/>
  <c r="P9" i="2"/>
  <c r="P31" i="2" s="1"/>
  <c r="O9" i="2"/>
  <c r="O31" i="2" s="1"/>
  <c r="N9" i="2"/>
  <c r="N31" i="2" s="1"/>
  <c r="M9" i="2"/>
  <c r="M31" i="2" s="1"/>
  <c r="L9" i="2"/>
  <c r="L31" i="2" s="1"/>
  <c r="K9" i="2"/>
  <c r="K31" i="2" s="1"/>
  <c r="J9" i="2"/>
  <c r="J31" i="2" s="1"/>
  <c r="I9" i="2"/>
  <c r="I31" i="2" s="1"/>
  <c r="H9" i="2"/>
  <c r="H31" i="2" s="1"/>
  <c r="G9" i="2"/>
  <c r="G31" i="2" s="1"/>
  <c r="F9" i="2"/>
  <c r="F31" i="2" s="1"/>
  <c r="E9" i="2"/>
  <c r="E31" i="2" s="1"/>
  <c r="D9" i="2"/>
  <c r="D31" i="2" s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E19" i="1"/>
  <c r="E20" i="1" s="1"/>
  <c r="D19" i="1"/>
  <c r="D20" i="1" s="1"/>
  <c r="E18" i="1"/>
  <c r="D18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M19" i="1" s="1"/>
  <c r="M20" i="1" s="1"/>
  <c r="L17" i="1"/>
  <c r="K17" i="1"/>
  <c r="J17" i="1"/>
  <c r="I17" i="1"/>
  <c r="H17" i="1"/>
  <c r="G17" i="1"/>
  <c r="F17" i="1"/>
  <c r="E17" i="1"/>
  <c r="D17" i="1"/>
  <c r="AA15" i="1"/>
  <c r="AA18" i="1" s="1"/>
  <c r="Z15" i="1"/>
  <c r="Z18" i="1" s="1"/>
  <c r="Y15" i="1"/>
  <c r="Y18" i="1" s="1"/>
  <c r="X15" i="1"/>
  <c r="X18" i="1" s="1"/>
  <c r="W15" i="1"/>
  <c r="W18" i="1" s="1"/>
  <c r="V15" i="1"/>
  <c r="V18" i="1" s="1"/>
  <c r="U15" i="1"/>
  <c r="U18" i="1" s="1"/>
  <c r="T15" i="1"/>
  <c r="T18" i="1" s="1"/>
  <c r="S15" i="1"/>
  <c r="S18" i="1" s="1"/>
  <c r="R15" i="1"/>
  <c r="R18" i="1" s="1"/>
  <c r="Q15" i="1"/>
  <c r="Q18" i="1" s="1"/>
  <c r="P15" i="1"/>
  <c r="P18" i="1" s="1"/>
  <c r="O15" i="1"/>
  <c r="O18" i="1" s="1"/>
  <c r="N15" i="1"/>
  <c r="N18" i="1" s="1"/>
  <c r="M15" i="1"/>
  <c r="M18" i="1" s="1"/>
  <c r="L15" i="1"/>
  <c r="L18" i="1" s="1"/>
  <c r="K15" i="1"/>
  <c r="K18" i="1" s="1"/>
  <c r="J15" i="1"/>
  <c r="J18" i="1" s="1"/>
  <c r="I15" i="1"/>
  <c r="I18" i="1" s="1"/>
  <c r="H15" i="1"/>
  <c r="H18" i="1" s="1"/>
  <c r="G15" i="1"/>
  <c r="G18" i="1" s="1"/>
  <c r="F15" i="1"/>
  <c r="F18" i="1" s="1"/>
  <c r="X19" i="1" l="1"/>
  <c r="X20" i="1" s="1"/>
  <c r="Z19" i="1"/>
  <c r="Z20" i="1" s="1"/>
  <c r="P19" i="1"/>
  <c r="P20" i="1" s="1"/>
  <c r="N11" i="3"/>
  <c r="AE13" i="3" s="1"/>
  <c r="S14" i="3"/>
  <c r="S13" i="3"/>
  <c r="S12" i="3"/>
  <c r="AE15" i="3"/>
  <c r="AE14" i="3"/>
  <c r="U13" i="3"/>
  <c r="AG14" i="3"/>
  <c r="Y15" i="3"/>
  <c r="AK12" i="3"/>
  <c r="U14" i="3"/>
  <c r="W12" i="3"/>
  <c r="AG12" i="3"/>
  <c r="AG13" i="3"/>
  <c r="AI15" i="3"/>
  <c r="AK13" i="3"/>
  <c r="Y12" i="3"/>
  <c r="AG15" i="3"/>
  <c r="Q19" i="1"/>
  <c r="Q20" i="1" s="1"/>
  <c r="L19" i="1"/>
  <c r="L20" i="1" s="1"/>
  <c r="N19" i="1"/>
  <c r="N20" i="1" s="1"/>
  <c r="AL12" i="3"/>
  <c r="P39" i="3"/>
  <c r="P12" i="3"/>
  <c r="P25" i="3"/>
  <c r="P20" i="3"/>
  <c r="P19" i="3"/>
  <c r="P18" i="3"/>
  <c r="P43" i="3"/>
  <c r="P21" i="3"/>
  <c r="AB37" i="3"/>
  <c r="AB36" i="3"/>
  <c r="AB15" i="3"/>
  <c r="AB14" i="3"/>
  <c r="AB13" i="3"/>
  <c r="AB25" i="3"/>
  <c r="AB21" i="3"/>
  <c r="AB20" i="3"/>
  <c r="AB45" i="3"/>
  <c r="AB44" i="3"/>
  <c r="AB43" i="3"/>
  <c r="AB19" i="3"/>
  <c r="AL31" i="3"/>
  <c r="AL33" i="3"/>
  <c r="Q33" i="3"/>
  <c r="Q37" i="3"/>
  <c r="Q36" i="3"/>
  <c r="Q15" i="3"/>
  <c r="Q14" i="3"/>
  <c r="Q13" i="3"/>
  <c r="Q32" i="3"/>
  <c r="Q31" i="3"/>
  <c r="Q30" i="3"/>
  <c r="Q44" i="3"/>
  <c r="Q43" i="3"/>
  <c r="Q42" i="3"/>
  <c r="Q21" i="3"/>
  <c r="Q20" i="3"/>
  <c r="Q19" i="3"/>
  <c r="Q18" i="3"/>
  <c r="AC31" i="3"/>
  <c r="AC30" i="3"/>
  <c r="AC15" i="3"/>
  <c r="AC14" i="3"/>
  <c r="AC13" i="3"/>
  <c r="AC12" i="3"/>
  <c r="AC33" i="3"/>
  <c r="AC32" i="3"/>
  <c r="AC43" i="3"/>
  <c r="AC21" i="3"/>
  <c r="AC20" i="3"/>
  <c r="AC19" i="3"/>
  <c r="AC18" i="3"/>
  <c r="P32" i="3"/>
  <c r="N35" i="3"/>
  <c r="P37" i="3" s="1"/>
  <c r="AE39" i="3"/>
  <c r="AE36" i="3"/>
  <c r="AK37" i="3"/>
  <c r="AK39" i="3"/>
  <c r="AE33" i="3"/>
  <c r="Q25" i="3"/>
  <c r="Z30" i="3"/>
  <c r="Z32" i="3"/>
  <c r="R42" i="3"/>
  <c r="T33" i="3"/>
  <c r="AF33" i="3"/>
  <c r="AB30" i="3"/>
  <c r="AB32" i="3"/>
  <c r="Y36" i="3"/>
  <c r="Y38" i="3"/>
  <c r="T42" i="3"/>
  <c r="U33" i="3"/>
  <c r="AJ30" i="3"/>
  <c r="AJ32" i="3"/>
  <c r="AG38" i="3"/>
  <c r="V44" i="3"/>
  <c r="F19" i="1"/>
  <c r="F20" i="1" s="1"/>
  <c r="R19" i="1"/>
  <c r="R20" i="1" s="1"/>
  <c r="N17" i="3"/>
  <c r="AK18" i="3"/>
  <c r="AI21" i="3"/>
  <c r="W21" i="3"/>
  <c r="AI20" i="3"/>
  <c r="W20" i="3"/>
  <c r="W19" i="3"/>
  <c r="AI18" i="3"/>
  <c r="W18" i="3"/>
  <c r="AI19" i="3"/>
  <c r="AH19" i="3"/>
  <c r="AH21" i="3"/>
  <c r="AL30" i="3"/>
  <c r="AL32" i="3"/>
  <c r="AD42" i="3"/>
  <c r="AH44" i="3"/>
  <c r="G19" i="1"/>
  <c r="G20" i="1" s="1"/>
  <c r="S19" i="1"/>
  <c r="S20" i="1" s="1"/>
  <c r="R18" i="3"/>
  <c r="R20" i="3"/>
  <c r="AC25" i="3"/>
  <c r="P31" i="3"/>
  <c r="P33" i="3"/>
  <c r="AK38" i="3"/>
  <c r="AF42" i="3"/>
  <c r="N41" i="3"/>
  <c r="P45" i="3" s="1"/>
  <c r="AI45" i="3"/>
  <c r="AI42" i="3"/>
  <c r="W42" i="3"/>
  <c r="W45" i="3"/>
  <c r="AI44" i="3"/>
  <c r="T44" i="3"/>
  <c r="AD45" i="3"/>
  <c r="R45" i="3"/>
  <c r="AD44" i="3"/>
  <c r="R44" i="3"/>
  <c r="AA19" i="1"/>
  <c r="AA20" i="1" s="1"/>
  <c r="H19" i="1"/>
  <c r="H20" i="1" s="1"/>
  <c r="T19" i="1"/>
  <c r="T20" i="1" s="1"/>
  <c r="X25" i="3"/>
  <c r="X45" i="3"/>
  <c r="X44" i="3"/>
  <c r="X43" i="3"/>
  <c r="X42" i="3"/>
  <c r="X21" i="3"/>
  <c r="X20" i="3"/>
  <c r="X19" i="3"/>
  <c r="X18" i="3"/>
  <c r="X15" i="3"/>
  <c r="X14" i="3"/>
  <c r="X13" i="3"/>
  <c r="X12" i="3"/>
  <c r="AJ25" i="3"/>
  <c r="AJ43" i="3"/>
  <c r="AJ21" i="3"/>
  <c r="AJ20" i="3"/>
  <c r="AJ19" i="3"/>
  <c r="AJ18" i="3"/>
  <c r="AJ39" i="3"/>
  <c r="AJ38" i="3"/>
  <c r="AJ37" i="3"/>
  <c r="AJ36" i="3"/>
  <c r="AJ12" i="3"/>
  <c r="Z14" i="3"/>
  <c r="T18" i="3"/>
  <c r="T20" i="3"/>
  <c r="X31" i="3"/>
  <c r="X33" i="3"/>
  <c r="U37" i="3"/>
  <c r="U39" i="3"/>
  <c r="Y19" i="1"/>
  <c r="Y20" i="1" s="1"/>
  <c r="O19" i="1"/>
  <c r="O20" i="1" s="1"/>
  <c r="S33" i="3"/>
  <c r="AG33" i="3"/>
  <c r="I19" i="1"/>
  <c r="I20" i="1" s="1"/>
  <c r="U19" i="1"/>
  <c r="U20" i="1" s="1"/>
  <c r="Y45" i="3"/>
  <c r="AK45" i="3"/>
  <c r="V18" i="3"/>
  <c r="V20" i="3"/>
  <c r="Z31" i="3"/>
  <c r="W39" i="3"/>
  <c r="J19" i="1"/>
  <c r="J20" i="1" s="1"/>
  <c r="Z37" i="3"/>
  <c r="Z45" i="3"/>
  <c r="Z44" i="3"/>
  <c r="Z43" i="3"/>
  <c r="Z42" i="3"/>
  <c r="Z21" i="3"/>
  <c r="Z20" i="3"/>
  <c r="Z19" i="3"/>
  <c r="Z18" i="3"/>
  <c r="Z38" i="3"/>
  <c r="Z36" i="3"/>
  <c r="Z25" i="3"/>
  <c r="Z15" i="3"/>
  <c r="AL45" i="3"/>
  <c r="AL43" i="3"/>
  <c r="AL21" i="3"/>
  <c r="AL20" i="3"/>
  <c r="AL19" i="3"/>
  <c r="AL18" i="3"/>
  <c r="AL39" i="3"/>
  <c r="AL38" i="3"/>
  <c r="AL37" i="3"/>
  <c r="AL36" i="3"/>
  <c r="AL25" i="3"/>
  <c r="AL15" i="3"/>
  <c r="AL14" i="3"/>
  <c r="AL13" i="3"/>
  <c r="AD18" i="3"/>
  <c r="AD20" i="3"/>
  <c r="AB31" i="3"/>
  <c r="AB33" i="3"/>
  <c r="Y37" i="3"/>
  <c r="Y39" i="3"/>
  <c r="V19" i="1"/>
  <c r="V20" i="1" s="1"/>
  <c r="K19" i="1"/>
  <c r="K20" i="1" s="1"/>
  <c r="W19" i="1"/>
  <c r="W20" i="1" s="1"/>
  <c r="AA45" i="3"/>
  <c r="AM45" i="3"/>
  <c r="AF18" i="3"/>
  <c r="AF20" i="3"/>
  <c r="AJ31" i="3"/>
  <c r="AJ33" i="3"/>
  <c r="AG37" i="3"/>
  <c r="Y25" i="3"/>
  <c r="AK25" i="3"/>
  <c r="V30" i="3"/>
  <c r="AH30" i="3"/>
  <c r="V31" i="3"/>
  <c r="AH31" i="3"/>
  <c r="V32" i="3"/>
  <c r="AH32" i="3"/>
  <c r="V33" i="3"/>
  <c r="AH33" i="3"/>
  <c r="T12" i="3"/>
  <c r="T13" i="3"/>
  <c r="AF13" i="3"/>
  <c r="T14" i="3"/>
  <c r="AF14" i="3"/>
  <c r="T15" i="3"/>
  <c r="AF15" i="3"/>
  <c r="M23" i="3"/>
  <c r="W30" i="3"/>
  <c r="AI30" i="3"/>
  <c r="W31" i="3"/>
  <c r="AI31" i="3"/>
  <c r="W32" i="3"/>
  <c r="AI32" i="3"/>
  <c r="W33" i="3"/>
  <c r="AI33" i="3"/>
  <c r="T36" i="3"/>
  <c r="AF36" i="3"/>
  <c r="T37" i="3"/>
  <c r="AF37" i="3"/>
  <c r="T38" i="3"/>
  <c r="AF38" i="3"/>
  <c r="T39" i="3"/>
  <c r="AF39" i="3"/>
  <c r="AH12" i="3"/>
  <c r="V13" i="3"/>
  <c r="AH13" i="3"/>
  <c r="V14" i="3"/>
  <c r="AH14" i="3"/>
  <c r="V15" i="3"/>
  <c r="AH15" i="3"/>
  <c r="S18" i="3"/>
  <c r="AE18" i="3"/>
  <c r="S19" i="3"/>
  <c r="AE19" i="3"/>
  <c r="S20" i="3"/>
  <c r="AE20" i="3"/>
  <c r="S21" i="3"/>
  <c r="AE21" i="3"/>
  <c r="Y30" i="3"/>
  <c r="AK30" i="3"/>
  <c r="Y31" i="3"/>
  <c r="AK31" i="3"/>
  <c r="Y32" i="3"/>
  <c r="AK32" i="3"/>
  <c r="Y33" i="3"/>
  <c r="AK33" i="3"/>
  <c r="AH37" i="3"/>
  <c r="V38" i="3"/>
  <c r="AH38" i="3"/>
  <c r="V39" i="3"/>
  <c r="AH39" i="3"/>
  <c r="S42" i="3"/>
  <c r="AE42" i="3"/>
  <c r="S43" i="3"/>
  <c r="AE43" i="3"/>
  <c r="AE45" i="3"/>
  <c r="U18" i="3"/>
  <c r="AG18" i="3"/>
  <c r="U19" i="3"/>
  <c r="AG19" i="3"/>
  <c r="U20" i="3"/>
  <c r="AG20" i="3"/>
  <c r="U21" i="3"/>
  <c r="AG21" i="3"/>
  <c r="R25" i="3"/>
  <c r="AD25" i="3"/>
  <c r="AA30" i="3"/>
  <c r="AM30" i="3"/>
  <c r="AA31" i="3"/>
  <c r="AM31" i="3"/>
  <c r="AA32" i="3"/>
  <c r="AM32" i="3"/>
  <c r="AA33" i="3"/>
  <c r="AM33" i="3"/>
  <c r="U42" i="3"/>
  <c r="AG42" i="3"/>
  <c r="U43" i="3"/>
  <c r="AG43" i="3"/>
  <c r="U44" i="3"/>
  <c r="AG44" i="3"/>
  <c r="U45" i="3"/>
  <c r="AG45" i="3"/>
  <c r="AM12" i="3"/>
  <c r="AA13" i="3"/>
  <c r="AM13" i="3"/>
  <c r="AA14" i="3"/>
  <c r="AM14" i="3"/>
  <c r="AA15" i="3"/>
  <c r="AM15" i="3"/>
  <c r="U25" i="3"/>
  <c r="AG25" i="3"/>
  <c r="R30" i="3"/>
  <c r="AD30" i="3"/>
  <c r="R31" i="3"/>
  <c r="AD31" i="3"/>
  <c r="R32" i="3"/>
  <c r="AD32" i="3"/>
  <c r="R33" i="3"/>
  <c r="AD33" i="3"/>
  <c r="AM37" i="3"/>
  <c r="AA38" i="3"/>
  <c r="AM38" i="3"/>
  <c r="AA39" i="3"/>
  <c r="AM39" i="3"/>
  <c r="Y18" i="3"/>
  <c r="Y19" i="3"/>
  <c r="AK19" i="3"/>
  <c r="Y20" i="3"/>
  <c r="AK20" i="3"/>
  <c r="Y21" i="3"/>
  <c r="AK21" i="3"/>
  <c r="V25" i="3"/>
  <c r="AH25" i="3"/>
  <c r="S30" i="3"/>
  <c r="AE30" i="3"/>
  <c r="S31" i="3"/>
  <c r="AE31" i="3"/>
  <c r="S32" i="3"/>
  <c r="AE32" i="3"/>
  <c r="Y42" i="3"/>
  <c r="AK42" i="3"/>
  <c r="Y43" i="3"/>
  <c r="AK43" i="3"/>
  <c r="Y44" i="3"/>
  <c r="AK44" i="3"/>
  <c r="W25" i="3"/>
  <c r="T30" i="3"/>
  <c r="AF30" i="3"/>
  <c r="T31" i="3"/>
  <c r="AF31" i="3"/>
  <c r="T32" i="3"/>
  <c r="AF32" i="3"/>
  <c r="R12" i="3"/>
  <c r="AD12" i="3"/>
  <c r="R13" i="3"/>
  <c r="AD13" i="3"/>
  <c r="R14" i="3"/>
  <c r="AD14" i="3"/>
  <c r="R15" i="3"/>
  <c r="AD15" i="3"/>
  <c r="AA18" i="3"/>
  <c r="AM18" i="3"/>
  <c r="AA19" i="3"/>
  <c r="AM19" i="3"/>
  <c r="AA20" i="3"/>
  <c r="AM20" i="3"/>
  <c r="AA21" i="3"/>
  <c r="AM21" i="3"/>
  <c r="U30" i="3"/>
  <c r="AG30" i="3"/>
  <c r="U31" i="3"/>
  <c r="AG31" i="3"/>
  <c r="U32" i="3"/>
  <c r="AG32" i="3"/>
  <c r="R36" i="3"/>
  <c r="AD36" i="3"/>
  <c r="R37" i="3"/>
  <c r="AD37" i="3"/>
  <c r="R38" i="3"/>
  <c r="AD38" i="3"/>
  <c r="AA42" i="3"/>
  <c r="AA43" i="3"/>
  <c r="AM43" i="3"/>
  <c r="AA44" i="3"/>
  <c r="AM44" i="3"/>
  <c r="V27" i="3" l="1"/>
  <c r="V48" i="3" s="1"/>
  <c r="U38" i="3"/>
  <c r="U36" i="3"/>
  <c r="AB42" i="3"/>
  <c r="P38" i="3"/>
  <c r="R27" i="3"/>
  <c r="Z27" i="3"/>
  <c r="X48" i="3"/>
  <c r="V42" i="3"/>
  <c r="S36" i="3"/>
  <c r="Q38" i="3"/>
  <c r="AB38" i="3"/>
  <c r="AK15" i="3"/>
  <c r="AI13" i="3"/>
  <c r="S15" i="3"/>
  <c r="S48" i="3" s="1"/>
  <c r="AC36" i="3"/>
  <c r="Q39" i="3"/>
  <c r="AB39" i="3"/>
  <c r="AG36" i="3"/>
  <c r="S37" i="3"/>
  <c r="AC37" i="3"/>
  <c r="Q45" i="3"/>
  <c r="AB24" i="3"/>
  <c r="W14" i="3"/>
  <c r="AI14" i="3"/>
  <c r="Y27" i="3"/>
  <c r="AK26" i="3"/>
  <c r="Y26" i="3"/>
  <c r="AK24" i="3"/>
  <c r="AK47" i="3" s="1"/>
  <c r="Y24" i="3"/>
  <c r="N23" i="3"/>
  <c r="AK27" i="3" s="1"/>
  <c r="AA27" i="3"/>
  <c r="S27" i="3"/>
  <c r="AM24" i="3"/>
  <c r="AM47" i="3" s="1"/>
  <c r="AM26" i="3"/>
  <c r="AE26" i="3"/>
  <c r="AA26" i="3"/>
  <c r="Z39" i="3"/>
  <c r="W37" i="3"/>
  <c r="R39" i="3"/>
  <c r="AJ42" i="3"/>
  <c r="X36" i="3"/>
  <c r="X24" i="3"/>
  <c r="AF44" i="3"/>
  <c r="AK36" i="3"/>
  <c r="AI38" i="3"/>
  <c r="W38" i="3"/>
  <c r="AE37" i="3"/>
  <c r="AC42" i="3"/>
  <c r="AC38" i="3"/>
  <c r="AI37" i="3"/>
  <c r="P42" i="3"/>
  <c r="P13" i="3"/>
  <c r="Y13" i="3"/>
  <c r="Y48" i="3" s="1"/>
  <c r="Z12" i="3"/>
  <c r="W13" i="3"/>
  <c r="U27" i="3"/>
  <c r="S45" i="3"/>
  <c r="V37" i="3"/>
  <c r="AL24" i="3"/>
  <c r="AL47" i="3" s="1"/>
  <c r="AL42" i="3"/>
  <c r="AJ13" i="3"/>
  <c r="X37" i="3"/>
  <c r="T45" i="3"/>
  <c r="AI36" i="3"/>
  <c r="W36" i="3"/>
  <c r="S38" i="3"/>
  <c r="AC39" i="3"/>
  <c r="AB26" i="3"/>
  <c r="P14" i="3"/>
  <c r="U15" i="3"/>
  <c r="U48" i="3" s="1"/>
  <c r="AI12" i="3"/>
  <c r="AK14" i="3"/>
  <c r="AA37" i="3"/>
  <c r="AM36" i="3"/>
  <c r="AG26" i="3"/>
  <c r="AE44" i="3"/>
  <c r="Q24" i="3"/>
  <c r="AH45" i="3"/>
  <c r="AJ14" i="3"/>
  <c r="AJ44" i="3"/>
  <c r="X38" i="3"/>
  <c r="AF45" i="3"/>
  <c r="AE38" i="3"/>
  <c r="AC44" i="3"/>
  <c r="AB27" i="3"/>
  <c r="AB48" i="3" s="1"/>
  <c r="P44" i="3"/>
  <c r="P15" i="3"/>
  <c r="Z13" i="3"/>
  <c r="Z48" i="3" s="1"/>
  <c r="Y14" i="3"/>
  <c r="Y47" i="3" s="1"/>
  <c r="AE12" i="3"/>
  <c r="V45" i="3"/>
  <c r="AA48" i="3"/>
  <c r="AD24" i="3"/>
  <c r="AH36" i="3"/>
  <c r="AM42" i="3"/>
  <c r="AA36" i="3"/>
  <c r="AA12" i="3"/>
  <c r="S44" i="3"/>
  <c r="V36" i="3"/>
  <c r="V12" i="3"/>
  <c r="AF12" i="3"/>
  <c r="AG39" i="3"/>
  <c r="AD39" i="3"/>
  <c r="AL26" i="3"/>
  <c r="AL44" i="3"/>
  <c r="AH42" i="3"/>
  <c r="AJ15" i="3"/>
  <c r="AJ45" i="3"/>
  <c r="X39" i="3"/>
  <c r="X27" i="3"/>
  <c r="W44" i="3"/>
  <c r="V19" i="3"/>
  <c r="T19" i="3"/>
  <c r="AF21" i="3"/>
  <c r="AF19" i="3"/>
  <c r="T21" i="3"/>
  <c r="AD21" i="3"/>
  <c r="AD19" i="3"/>
  <c r="V21" i="3"/>
  <c r="R21" i="3"/>
  <c r="R19" i="3"/>
  <c r="R48" i="3" s="1"/>
  <c r="AH20" i="3"/>
  <c r="AH18" i="3"/>
  <c r="S39" i="3"/>
  <c r="AC45" i="3"/>
  <c r="Q12" i="3"/>
  <c r="AB18" i="3"/>
  <c r="AB12" i="3"/>
  <c r="AB47" i="3" s="1"/>
  <c r="P36" i="3"/>
  <c r="W15" i="3"/>
  <c r="U12" i="3"/>
  <c r="AI39" i="3"/>
  <c r="AK48" i="3" l="1"/>
  <c r="V47" i="3"/>
  <c r="Z47" i="3"/>
  <c r="AH26" i="3"/>
  <c r="V26" i="3"/>
  <c r="P24" i="3"/>
  <c r="P47" i="3" s="1"/>
  <c r="AJ27" i="3"/>
  <c r="U24" i="3"/>
  <c r="AI27" i="3"/>
  <c r="AG24" i="3"/>
  <c r="AG47" i="3" s="1"/>
  <c r="AC26" i="3"/>
  <c r="Z24" i="3"/>
  <c r="AD27" i="3"/>
  <c r="AD48" i="3" s="1"/>
  <c r="AJ26" i="3"/>
  <c r="W27" i="3"/>
  <c r="W48" i="3" s="1"/>
  <c r="Q26" i="3"/>
  <c r="W24" i="3"/>
  <c r="W47" i="3" s="1"/>
  <c r="W26" i="3"/>
  <c r="AF24" i="3"/>
  <c r="AI48" i="3"/>
  <c r="AH27" i="3"/>
  <c r="AH48" i="3" s="1"/>
  <c r="AG27" i="3"/>
  <c r="AG48" i="3" s="1"/>
  <c r="AE27" i="3"/>
  <c r="AE48" i="3" s="1"/>
  <c r="AF26" i="3"/>
  <c r="AF47" i="3" s="1"/>
  <c r="AJ24" i="3"/>
  <c r="AJ47" i="3" s="1"/>
  <c r="Q27" i="3"/>
  <c r="Q48" i="3" s="1"/>
  <c r="Z26" i="3"/>
  <c r="AH24" i="3"/>
  <c r="AH47" i="3" s="1"/>
  <c r="S24" i="3"/>
  <c r="AF27" i="3"/>
  <c r="AF48" i="3" s="1"/>
  <c r="P26" i="3"/>
  <c r="AL27" i="3"/>
  <c r="AL48" i="3" s="1"/>
  <c r="Q47" i="3"/>
  <c r="R24" i="3"/>
  <c r="R47" i="3" s="1"/>
  <c r="R26" i="3"/>
  <c r="U26" i="3"/>
  <c r="U47" i="3" s="1"/>
  <c r="AD26" i="3"/>
  <c r="AD47" i="3" s="1"/>
  <c r="AI24" i="3"/>
  <c r="AI47" i="3" s="1"/>
  <c r="V24" i="3"/>
  <c r="AC27" i="3"/>
  <c r="AC48" i="3" s="1"/>
  <c r="AM27" i="3"/>
  <c r="AM48" i="3" s="1"/>
  <c r="X26" i="3"/>
  <c r="X47" i="3" s="1"/>
  <c r="AJ48" i="3"/>
  <c r="S26" i="3"/>
  <c r="AA24" i="3"/>
  <c r="T26" i="3"/>
  <c r="AA47" i="3"/>
  <c r="AI26" i="3"/>
  <c r="AE24" i="3"/>
  <c r="AE47" i="3" s="1"/>
  <c r="T24" i="3"/>
  <c r="T27" i="3"/>
  <c r="T48" i="3" s="1"/>
  <c r="P27" i="3"/>
  <c r="P48" i="3" s="1"/>
  <c r="AC24" i="3"/>
  <c r="AC47" i="3" s="1"/>
  <c r="T47" i="3" l="1"/>
  <c r="S47" i="3"/>
</calcChain>
</file>

<file path=xl/sharedStrings.xml><?xml version="1.0" encoding="utf-8"?>
<sst xmlns="http://schemas.openxmlformats.org/spreadsheetml/2006/main" count="131" uniqueCount="84">
  <si>
    <t>Wildcard — Current Revenue Model: Aggregate (mirrors Vercel dashboard P&amp;L Assumptions tab)</t>
  </si>
  <si>
    <t>This is exactly what lib/assumptions/assumptionsData.js computes today — one blended rate for every customer, no per-customer or per-contract detail.</t>
  </si>
  <si>
    <t>Edit the yellow assumption cells or the # of Campaigns row — everything below recalculates.</t>
  </si>
  <si>
    <t>Assumptions</t>
  </si>
  <si>
    <t>Upfront Rate ($/campaign)</t>
  </si>
  <si>
    <t>Per-Meeting Rate ($/meeting)</t>
  </si>
  <si>
    <t>Meeting Conversion %</t>
  </si>
  <si>
    <t>Meeting Lag (months)</t>
  </si>
  <si>
    <t>Uncollectible %</t>
  </si>
  <si>
    <t>Campaign Cost Rate ($/campaign, COGS)</t>
  </si>
  <si>
    <t>Month</t>
  </si>
  <si>
    <t># of Campaigns (input)</t>
  </si>
  <si>
    <t># of Meetings (auto after month 2; conv% × campaigns, lagged)</t>
  </si>
  <si>
    <t>Upfront (Subscription) Revenue</t>
  </si>
  <si>
    <t>Meeting (Transaction) Revenue</t>
  </si>
  <si>
    <t>Gross Collected Revenue</t>
  </si>
  <si>
    <t>Net Collected Revenue — P&amp;L Accrual</t>
  </si>
  <si>
    <t>Cost of Campaigns (COGS)</t>
  </si>
  <si>
    <t>Wildcard — Current Revenue Model: Per-Customer (mirrors Vercel dashboard Customer tab)</t>
  </si>
  <si>
    <t>Each customer has its own $/campaign and $/meeting rate. Cash In = campaigns x campaign price + meetings x meeting price, in the SAME month the counts are entered.</t>
  </si>
  <si>
    <t>This number today feeds the Cash Flow projection directly as "cash in" -- there is no separate accrual timing distinct from it. That's the gap Brennan flagged on the call.</t>
  </si>
  <si>
    <t>Customer</t>
  </si>
  <si>
    <t>Campaign $</t>
  </si>
  <si>
    <t>Meeting $</t>
  </si>
  <si>
    <t>11 Labs</t>
  </si>
  <si>
    <t xml:space="preserve">  # of Campaigns</t>
  </si>
  <si>
    <t xml:space="preserve">  # of Meetings</t>
  </si>
  <si>
    <t xml:space="preserve">  Cash In (this customer)</t>
  </si>
  <si>
    <t>Rippling</t>
  </si>
  <si>
    <t>Datadog</t>
  </si>
  <si>
    <t>Chainguard</t>
  </si>
  <si>
    <t>Solid Road</t>
  </si>
  <si>
    <t>TOTAL Cash In (all customers)</t>
  </si>
  <si>
    <t>Wildcard — New Revenue Model: CSM-Linked (pipeline -&gt; contract, accrual separate from cash)</t>
  </si>
  <si>
    <t>Imagines a CSM/CRM feed per customer or pipeline deal: contract value, term, signing date, and (for pipeline) a probability of closing -- the fields we're asking Brennan about.</t>
  </si>
  <si>
    <t>Accrual = Contract Value / Term, spread evenly from the Recognition Start month through the end of the term (Signed = 100% probability; Pipeline = weighted by probability).</t>
  </si>
  <si>
    <t>Cash = either a lump sum in the signing month (upfront-only customers) or spread monthly with accrual (recurring-billing customers) -- set per deal in 'Cash Timing'.</t>
  </si>
  <si>
    <t>Success Fees are modeled the same way but on their own line: accrued evenly over the term, with Cash shifted later by the Invoice Lag Brennan gives us (mirrors today's call: 'earned' month vs. invoice month).</t>
  </si>
  <si>
    <t>Editable cells are yellow. Change Stage / Probability / Term / Cash Timing on any deal and every month recalculates -- built to be reshaped live with Brennan.</t>
  </si>
  <si>
    <t>Customer / Deal</t>
  </si>
  <si>
    <t>Stage</t>
  </si>
  <si>
    <t>Probability %</t>
  </si>
  <si>
    <t>Contract Value ($)</t>
  </si>
  <si>
    <t>Contract Term (months)</t>
  </si>
  <si>
    <t>Signing / Expected Close Month</t>
  </si>
  <si>
    <t>Recognition Start Rule</t>
  </si>
  <si>
    <t>Cash Timing</t>
  </si>
  <si>
    <t>Avg Success Fee $/Meeting</t>
  </si>
  <si>
    <t>Expected Meetings (over term)</t>
  </si>
  <si>
    <t>Success Fee Invoice Lag (months)</t>
  </si>
  <si>
    <t>Signing Mo#</t>
  </si>
  <si>
    <t>Recog Start Mo#</t>
  </si>
  <si>
    <t>Recog End Mo#</t>
  </si>
  <si>
    <t>(helper row -- month index, do not delete)</t>
  </si>
  <si>
    <t>Signed</t>
  </si>
  <si>
    <t>Signing Month</t>
  </si>
  <si>
    <t>Spread Monthly (=Accrual)</t>
  </si>
  <si>
    <t xml:space="preserve">   Contract Accrual</t>
  </si>
  <si>
    <t xml:space="preserve">   Contract Cash</t>
  </si>
  <si>
    <t xml:space="preserve">   Success Fee Accrual</t>
  </si>
  <si>
    <t xml:space="preserve">   Success Fee Cash</t>
  </si>
  <si>
    <t>Month After Signing</t>
  </si>
  <si>
    <t>Lump Sum at Signing</t>
  </si>
  <si>
    <t>Chainguard (renewal pending)</t>
  </si>
  <si>
    <t>Pipeline</t>
  </si>
  <si>
    <t>Solid Road (pilot -&gt; recurring)</t>
  </si>
  <si>
    <t>New Prospect A (sales pipeline)</t>
  </si>
  <si>
    <t>TOTAL Accrual Revenue (all deals, probability-weighted)</t>
  </si>
  <si>
    <t>TOTAL Cash In (all deals, probability-weighted)</t>
  </si>
  <si>
    <t>Questions for Brennan -- CSM / CRM fields for the new revenue model</t>
  </si>
  <si>
    <t>#</t>
  </si>
  <si>
    <t>Question</t>
  </si>
  <si>
    <t>Where it feeds the model / notes</t>
  </si>
  <si>
    <t>1.</t>
  </si>
  <si>
    <t>On the CSM side, beyond the current contract, is there a field that flags upcoming pipeline (renewals or expansions) with some kind of probability or likelihood of closing already attached to it?</t>
  </si>
  <si>
    <t>See Sheet 3 columns B/C (Stage / Probability %) -- if this already exists in the CRM, we pull it directly instead of guessing.</t>
  </si>
  <si>
    <t>2.</t>
  </si>
  <si>
    <t>If that doesn't exist, would it make more sense for us to define our own renewal-rate metric based on specific conditions (contract type, tenure, engagement, etc.)? Just want to check before we build something that might already exist on your end.</t>
  </si>
  <si>
    <t>If we own this, it becomes the Probability % column ourselves, driven by rules we set.</t>
  </si>
  <si>
    <t>3.</t>
  </si>
  <si>
    <t>For each contract: what's the actual contract value, term length (months), and signing date, and does the CRM already track these as structured fields (not just free text in a contract PDF)?</t>
  </si>
  <si>
    <t>Feeds Sheet 3 columns D/E/F directly.</t>
  </si>
  <si>
    <t>4.</t>
  </si>
  <si>
    <t>For success fees specifically: can we get (or will the September internal system provide) a per-meeting log -- date the meeting happened vs. date it gets invoiced -- so the Invoice Lag column (K) is a real number per customer instead of one assumed lag for everyone?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</si>
</sst>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6B7280"/>
      <name val="Calibri"/>
    </font>
    <font>
      <b/>
      <sz val="10"/>
      <name val="Calibri"/>
    </font>
    <font>
      <sz val="10"/>
      <name val="Calibri"/>
    </font>
    <font>
      <b/>
      <sz val="10"/>
      <color rgb="FFFFFFFF"/>
      <name val="Calibri"/>
    </font>
    <font>
      <i/>
      <sz val="9"/>
      <name val="Calibri"/>
    </font>
    <font>
      <b/>
      <sz val="9"/>
      <name val="Calibri"/>
    </font>
    <font>
      <b/>
      <sz val="11"/>
      <name val="Calibri"/>
    </font>
    <font>
      <i/>
      <sz val="8"/>
      <color rgb="FF6B7280"/>
      <name val="Calibri"/>
    </font>
    <font>
      <i/>
      <sz val="9"/>
      <color rgb="FF6B7280"/>
      <name val="Calibri"/>
    </font>
    <font>
      <sz val="8"/>
      <color rgb="FF6B7280"/>
      <name val="Calibri"/>
    </font>
    <font>
      <sz val="9"/>
      <color rgb="FF6B7280"/>
      <name val="Calibri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EF9C3"/>
      </patternFill>
    </fill>
    <fill>
      <patternFill patternType="solid">
        <fgColor rgb="FFE5E7E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4" fillId="0" borderId="0" xfId="0" applyFont="1"/>
    <xf numFmtId="164" fontId="0" fillId="3" borderId="1" xfId="0" applyNumberFormat="1" applyFill="1" applyBorder="1"/>
    <xf numFmtId="9" fontId="0" fillId="3" borderId="1" xfId="0" applyNumberFormat="1" applyFill="1" applyBorder="1"/>
    <xf numFmtId="1" fontId="0" fillId="3" borderId="1" xfId="0" applyNumberFormat="1" applyFill="1" applyBorder="1"/>
    <xf numFmtId="0" fontId="5" fillId="0" borderId="0" xfId="0" applyFont="1"/>
    <xf numFmtId="17" fontId="5" fillId="2" borderId="0" xfId="0" applyNumberFormat="1" applyFont="1" applyFill="1" applyAlignment="1">
      <alignment horizontal="center"/>
    </xf>
    <xf numFmtId="3" fontId="0" fillId="3" borderId="1" xfId="0" applyNumberFormat="1" applyFill="1" applyBorder="1"/>
    <xf numFmtId="3" fontId="0" fillId="0" borderId="1" xfId="0" applyNumberFormat="1" applyBorder="1"/>
    <xf numFmtId="164" fontId="0" fillId="0" borderId="0" xfId="0" applyNumberFormat="1"/>
    <xf numFmtId="164" fontId="3" fillId="4" borderId="0" xfId="0" applyNumberFormat="1" applyFont="1" applyFill="1"/>
    <xf numFmtId="0" fontId="5" fillId="2" borderId="0" xfId="0" applyFont="1" applyFill="1"/>
    <xf numFmtId="0" fontId="6" fillId="0" borderId="0" xfId="0" applyFont="1"/>
    <xf numFmtId="3" fontId="0" fillId="3" borderId="0" xfId="0" applyNumberFormat="1" applyFill="1"/>
    <xf numFmtId="0" fontId="7" fillId="0" borderId="0" xfId="0" applyFont="1"/>
    <xf numFmtId="164" fontId="8" fillId="0" borderId="0" xfId="0" applyNumberFormat="1" applyFont="1"/>
    <xf numFmtId="0" fontId="5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center"/>
    </xf>
    <xf numFmtId="0" fontId="3" fillId="5" borderId="0" xfId="0" applyFont="1" applyFill="1"/>
    <xf numFmtId="0" fontId="0" fillId="3" borderId="1" xfId="0" applyFill="1" applyBorder="1"/>
    <xf numFmtId="17" fontId="0" fillId="3" borderId="1" xfId="0" applyNumberFormat="1" applyFill="1" applyBorder="1"/>
    <xf numFmtId="0" fontId="12" fillId="5" borderId="0" xfId="0" applyFont="1" applyFill="1"/>
    <xf numFmtId="0" fontId="13" fillId="0" borderId="0" xfId="0" applyFont="1"/>
    <xf numFmtId="0" fontId="8" fillId="0" borderId="0" xfId="0" applyFont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0" borderId="0" xfId="0" applyFont="1" applyAlignment="1">
      <alignment horizontal="left" vertical="center" indent="1"/>
    </xf>
    <xf numFmtId="0" fontId="0" fillId="0" borderId="0" xfId="0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"/>
  <sheetViews>
    <sheetView showGridLines="0" workbookViewId="0">
      <pane xSplit="3" ySplit="13" topLeftCell="D14" activePane="bottomRight" state="frozen"/>
      <selection pane="topRight"/>
      <selection pane="bottomLeft"/>
      <selection pane="bottomRight" activeCell="A13" sqref="A13:XFD22"/>
    </sheetView>
  </sheetViews>
  <sheetFormatPr defaultRowHeight="14.4" x14ac:dyDescent="0.3"/>
  <cols>
    <col min="1" max="1" width="40" customWidth="1"/>
    <col min="2" max="2" width="12" customWidth="1"/>
    <col min="3" max="3" width="3" customWidth="1"/>
    <col min="4" max="27" width="10" customWidth="1"/>
  </cols>
  <sheetData>
    <row r="1" spans="1:27" ht="25.95" customHeight="1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 x14ac:dyDescent="0.3">
      <c r="A2" s="29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x14ac:dyDescent="0.3">
      <c r="A3" s="29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5" spans="1:27" x14ac:dyDescent="0.3">
      <c r="A5" s="1" t="s">
        <v>3</v>
      </c>
    </row>
    <row r="6" spans="1:27" x14ac:dyDescent="0.3">
      <c r="A6" s="2" t="s">
        <v>4</v>
      </c>
      <c r="B6" s="3">
        <v>1500</v>
      </c>
    </row>
    <row r="7" spans="1:27" x14ac:dyDescent="0.3">
      <c r="A7" s="2" t="s">
        <v>5</v>
      </c>
      <c r="B7" s="3">
        <v>4000</v>
      </c>
    </row>
    <row r="8" spans="1:27" x14ac:dyDescent="0.3">
      <c r="A8" s="2" t="s">
        <v>6</v>
      </c>
      <c r="B8" s="4">
        <v>0.1</v>
      </c>
    </row>
    <row r="9" spans="1:27" x14ac:dyDescent="0.3">
      <c r="A9" s="2" t="s">
        <v>7</v>
      </c>
      <c r="B9" s="5">
        <v>2</v>
      </c>
    </row>
    <row r="10" spans="1:27" x14ac:dyDescent="0.3">
      <c r="A10" s="2" t="s">
        <v>8</v>
      </c>
      <c r="B10" s="4">
        <v>0.15</v>
      </c>
    </row>
    <row r="11" spans="1:27" x14ac:dyDescent="0.3">
      <c r="A11" s="2" t="s">
        <v>9</v>
      </c>
      <c r="B11" s="3">
        <v>250</v>
      </c>
    </row>
    <row r="13" spans="1:27" ht="18" customHeight="1" x14ac:dyDescent="0.3">
      <c r="C13" s="6" t="s">
        <v>10</v>
      </c>
      <c r="D13" s="7">
        <v>46023</v>
      </c>
      <c r="E13" s="7">
        <v>46054</v>
      </c>
      <c r="F13" s="7">
        <v>46082</v>
      </c>
      <c r="G13" s="7">
        <v>46113</v>
      </c>
      <c r="H13" s="7">
        <v>46143</v>
      </c>
      <c r="I13" s="7">
        <v>46174</v>
      </c>
      <c r="J13" s="7">
        <v>46204</v>
      </c>
      <c r="K13" s="7">
        <v>46235</v>
      </c>
      <c r="L13" s="7">
        <v>46266</v>
      </c>
      <c r="M13" s="7">
        <v>46296</v>
      </c>
      <c r="N13" s="7">
        <v>46327</v>
      </c>
      <c r="O13" s="7">
        <v>46357</v>
      </c>
      <c r="P13" s="7">
        <v>46388</v>
      </c>
      <c r="Q13" s="7">
        <v>46419</v>
      </c>
      <c r="R13" s="7">
        <v>46447</v>
      </c>
      <c r="S13" s="7">
        <v>46478</v>
      </c>
      <c r="T13" s="7">
        <v>46508</v>
      </c>
      <c r="U13" s="7">
        <v>46539</v>
      </c>
      <c r="V13" s="7">
        <v>46569</v>
      </c>
      <c r="W13" s="7">
        <v>46600</v>
      </c>
      <c r="X13" s="7">
        <v>46631</v>
      </c>
      <c r="Y13" s="7">
        <v>46661</v>
      </c>
      <c r="Z13" s="7">
        <v>46692</v>
      </c>
      <c r="AA13" s="7">
        <v>46722</v>
      </c>
    </row>
    <row r="14" spans="1:27" x14ac:dyDescent="0.3">
      <c r="A14" s="1" t="s">
        <v>11</v>
      </c>
      <c r="D14" s="8">
        <v>80</v>
      </c>
      <c r="E14" s="8">
        <v>95</v>
      </c>
      <c r="F14" s="8">
        <v>113</v>
      </c>
      <c r="G14" s="8">
        <v>135</v>
      </c>
      <c r="H14" s="8">
        <v>191</v>
      </c>
      <c r="I14" s="8">
        <v>225</v>
      </c>
      <c r="J14" s="8">
        <v>250</v>
      </c>
      <c r="K14" s="8">
        <v>300</v>
      </c>
      <c r="L14" s="8">
        <v>350</v>
      </c>
      <c r="M14" s="8">
        <v>400</v>
      </c>
      <c r="N14" s="8">
        <v>430</v>
      </c>
      <c r="O14" s="8">
        <v>460</v>
      </c>
      <c r="P14" s="8">
        <v>480</v>
      </c>
      <c r="Q14" s="8">
        <v>500</v>
      </c>
      <c r="R14" s="8">
        <v>520</v>
      </c>
      <c r="S14" s="8">
        <v>540</v>
      </c>
      <c r="T14" s="8">
        <v>560</v>
      </c>
      <c r="U14" s="8">
        <v>580</v>
      </c>
      <c r="V14" s="8">
        <v>600</v>
      </c>
      <c r="W14" s="8">
        <v>620</v>
      </c>
      <c r="X14" s="8">
        <v>640</v>
      </c>
      <c r="Y14" s="8">
        <v>660</v>
      </c>
      <c r="Z14" s="8">
        <v>680</v>
      </c>
      <c r="AA14" s="8">
        <v>700</v>
      </c>
    </row>
    <row r="15" spans="1:27" x14ac:dyDescent="0.3">
      <c r="A15" s="1" t="s">
        <v>12</v>
      </c>
      <c r="D15" s="8">
        <v>8</v>
      </c>
      <c r="E15" s="8">
        <v>8</v>
      </c>
      <c r="F15" s="9">
        <f t="shared" ref="F15:AA15" si="0">ROUND($B$8*D14,0)</f>
        <v>8</v>
      </c>
      <c r="G15" s="9">
        <f t="shared" si="0"/>
        <v>10</v>
      </c>
      <c r="H15" s="9">
        <f t="shared" si="0"/>
        <v>11</v>
      </c>
      <c r="I15" s="9">
        <f t="shared" si="0"/>
        <v>14</v>
      </c>
      <c r="J15" s="9">
        <f t="shared" si="0"/>
        <v>19</v>
      </c>
      <c r="K15" s="9">
        <f t="shared" si="0"/>
        <v>23</v>
      </c>
      <c r="L15" s="9">
        <f t="shared" si="0"/>
        <v>25</v>
      </c>
      <c r="M15" s="9">
        <f t="shared" si="0"/>
        <v>30</v>
      </c>
      <c r="N15" s="9">
        <f t="shared" si="0"/>
        <v>35</v>
      </c>
      <c r="O15" s="9">
        <f t="shared" si="0"/>
        <v>40</v>
      </c>
      <c r="P15" s="9">
        <f t="shared" si="0"/>
        <v>43</v>
      </c>
      <c r="Q15" s="9">
        <f t="shared" si="0"/>
        <v>46</v>
      </c>
      <c r="R15" s="9">
        <f t="shared" si="0"/>
        <v>48</v>
      </c>
      <c r="S15" s="9">
        <f t="shared" si="0"/>
        <v>50</v>
      </c>
      <c r="T15" s="9">
        <f t="shared" si="0"/>
        <v>52</v>
      </c>
      <c r="U15" s="9">
        <f t="shared" si="0"/>
        <v>54</v>
      </c>
      <c r="V15" s="9">
        <f t="shared" si="0"/>
        <v>56</v>
      </c>
      <c r="W15" s="9">
        <f t="shared" si="0"/>
        <v>58</v>
      </c>
      <c r="X15" s="9">
        <f t="shared" si="0"/>
        <v>60</v>
      </c>
      <c r="Y15" s="9">
        <f t="shared" si="0"/>
        <v>62</v>
      </c>
      <c r="Z15" s="9">
        <f t="shared" si="0"/>
        <v>64</v>
      </c>
      <c r="AA15" s="9">
        <f t="shared" si="0"/>
        <v>66</v>
      </c>
    </row>
    <row r="17" spans="1:27" x14ac:dyDescent="0.3">
      <c r="A17" s="2" t="s">
        <v>13</v>
      </c>
      <c r="D17" s="10">
        <f t="shared" ref="D17:AA17" si="1">D14*$B$6</f>
        <v>120000</v>
      </c>
      <c r="E17" s="10">
        <f t="shared" si="1"/>
        <v>142500</v>
      </c>
      <c r="F17" s="10">
        <f t="shared" si="1"/>
        <v>169500</v>
      </c>
      <c r="G17" s="10">
        <f t="shared" si="1"/>
        <v>202500</v>
      </c>
      <c r="H17" s="10">
        <f t="shared" si="1"/>
        <v>286500</v>
      </c>
      <c r="I17" s="10">
        <f t="shared" si="1"/>
        <v>337500</v>
      </c>
      <c r="J17" s="10">
        <f t="shared" si="1"/>
        <v>375000</v>
      </c>
      <c r="K17" s="10">
        <f t="shared" si="1"/>
        <v>450000</v>
      </c>
      <c r="L17" s="10">
        <f t="shared" si="1"/>
        <v>525000</v>
      </c>
      <c r="M17" s="10">
        <f t="shared" si="1"/>
        <v>600000</v>
      </c>
      <c r="N17" s="10">
        <f t="shared" si="1"/>
        <v>645000</v>
      </c>
      <c r="O17" s="10">
        <f t="shared" si="1"/>
        <v>690000</v>
      </c>
      <c r="P17" s="10">
        <f t="shared" si="1"/>
        <v>720000</v>
      </c>
      <c r="Q17" s="10">
        <f t="shared" si="1"/>
        <v>750000</v>
      </c>
      <c r="R17" s="10">
        <f t="shared" si="1"/>
        <v>780000</v>
      </c>
      <c r="S17" s="10">
        <f t="shared" si="1"/>
        <v>810000</v>
      </c>
      <c r="T17" s="10">
        <f t="shared" si="1"/>
        <v>840000</v>
      </c>
      <c r="U17" s="10">
        <f t="shared" si="1"/>
        <v>870000</v>
      </c>
      <c r="V17" s="10">
        <f t="shared" si="1"/>
        <v>900000</v>
      </c>
      <c r="W17" s="10">
        <f t="shared" si="1"/>
        <v>930000</v>
      </c>
      <c r="X17" s="10">
        <f t="shared" si="1"/>
        <v>960000</v>
      </c>
      <c r="Y17" s="10">
        <f t="shared" si="1"/>
        <v>990000</v>
      </c>
      <c r="Z17" s="10">
        <f t="shared" si="1"/>
        <v>1020000</v>
      </c>
      <c r="AA17" s="10">
        <f t="shared" si="1"/>
        <v>1050000</v>
      </c>
    </row>
    <row r="18" spans="1:27" x14ac:dyDescent="0.3">
      <c r="A18" s="2" t="s">
        <v>14</v>
      </c>
      <c r="D18" s="10">
        <f t="shared" ref="D18:AA18" si="2">D15*$B$7</f>
        <v>32000</v>
      </c>
      <c r="E18" s="10">
        <f t="shared" si="2"/>
        <v>32000</v>
      </c>
      <c r="F18" s="10">
        <f t="shared" si="2"/>
        <v>32000</v>
      </c>
      <c r="G18" s="10">
        <f t="shared" si="2"/>
        <v>40000</v>
      </c>
      <c r="H18" s="10">
        <f t="shared" si="2"/>
        <v>44000</v>
      </c>
      <c r="I18" s="10">
        <f t="shared" si="2"/>
        <v>56000</v>
      </c>
      <c r="J18" s="10">
        <f t="shared" si="2"/>
        <v>76000</v>
      </c>
      <c r="K18" s="10">
        <f t="shared" si="2"/>
        <v>92000</v>
      </c>
      <c r="L18" s="10">
        <f t="shared" si="2"/>
        <v>100000</v>
      </c>
      <c r="M18" s="10">
        <f t="shared" si="2"/>
        <v>120000</v>
      </c>
      <c r="N18" s="10">
        <f t="shared" si="2"/>
        <v>140000</v>
      </c>
      <c r="O18" s="10">
        <f t="shared" si="2"/>
        <v>160000</v>
      </c>
      <c r="P18" s="10">
        <f t="shared" si="2"/>
        <v>172000</v>
      </c>
      <c r="Q18" s="10">
        <f t="shared" si="2"/>
        <v>184000</v>
      </c>
      <c r="R18" s="10">
        <f t="shared" si="2"/>
        <v>192000</v>
      </c>
      <c r="S18" s="10">
        <f t="shared" si="2"/>
        <v>200000</v>
      </c>
      <c r="T18" s="10">
        <f t="shared" si="2"/>
        <v>208000</v>
      </c>
      <c r="U18" s="10">
        <f t="shared" si="2"/>
        <v>216000</v>
      </c>
      <c r="V18" s="10">
        <f t="shared" si="2"/>
        <v>224000</v>
      </c>
      <c r="W18" s="10">
        <f t="shared" si="2"/>
        <v>232000</v>
      </c>
      <c r="X18" s="10">
        <f t="shared" si="2"/>
        <v>240000</v>
      </c>
      <c r="Y18" s="10">
        <f t="shared" si="2"/>
        <v>248000</v>
      </c>
      <c r="Z18" s="10">
        <f t="shared" si="2"/>
        <v>256000</v>
      </c>
      <c r="AA18" s="10">
        <f t="shared" si="2"/>
        <v>264000</v>
      </c>
    </row>
    <row r="19" spans="1:27" x14ac:dyDescent="0.3">
      <c r="A19" s="2" t="s">
        <v>15</v>
      </c>
      <c r="D19" s="10">
        <f t="shared" ref="D19:AA19" si="3">D17+D18</f>
        <v>152000</v>
      </c>
      <c r="E19" s="10">
        <f t="shared" si="3"/>
        <v>174500</v>
      </c>
      <c r="F19" s="10">
        <f t="shared" si="3"/>
        <v>201500</v>
      </c>
      <c r="G19" s="10">
        <f t="shared" si="3"/>
        <v>242500</v>
      </c>
      <c r="H19" s="10">
        <f t="shared" si="3"/>
        <v>330500</v>
      </c>
      <c r="I19" s="10">
        <f t="shared" si="3"/>
        <v>393500</v>
      </c>
      <c r="J19" s="10">
        <f t="shared" si="3"/>
        <v>451000</v>
      </c>
      <c r="K19" s="10">
        <f t="shared" si="3"/>
        <v>542000</v>
      </c>
      <c r="L19" s="10">
        <f t="shared" si="3"/>
        <v>625000</v>
      </c>
      <c r="M19" s="10">
        <f t="shared" si="3"/>
        <v>720000</v>
      </c>
      <c r="N19" s="10">
        <f t="shared" si="3"/>
        <v>785000</v>
      </c>
      <c r="O19" s="10">
        <f t="shared" si="3"/>
        <v>850000</v>
      </c>
      <c r="P19" s="10">
        <f t="shared" si="3"/>
        <v>892000</v>
      </c>
      <c r="Q19" s="10">
        <f t="shared" si="3"/>
        <v>934000</v>
      </c>
      <c r="R19" s="10">
        <f t="shared" si="3"/>
        <v>972000</v>
      </c>
      <c r="S19" s="10">
        <f t="shared" si="3"/>
        <v>1010000</v>
      </c>
      <c r="T19" s="10">
        <f t="shared" si="3"/>
        <v>1048000</v>
      </c>
      <c r="U19" s="10">
        <f t="shared" si="3"/>
        <v>1086000</v>
      </c>
      <c r="V19" s="10">
        <f t="shared" si="3"/>
        <v>1124000</v>
      </c>
      <c r="W19" s="10">
        <f t="shared" si="3"/>
        <v>1162000</v>
      </c>
      <c r="X19" s="10">
        <f t="shared" si="3"/>
        <v>1200000</v>
      </c>
      <c r="Y19" s="10">
        <f t="shared" si="3"/>
        <v>1238000</v>
      </c>
      <c r="Z19" s="10">
        <f t="shared" si="3"/>
        <v>1276000</v>
      </c>
      <c r="AA19" s="10">
        <f t="shared" si="3"/>
        <v>1314000</v>
      </c>
    </row>
    <row r="20" spans="1:27" x14ac:dyDescent="0.3">
      <c r="A20" s="1" t="s">
        <v>16</v>
      </c>
      <c r="D20" s="11">
        <f t="shared" ref="D20:AA20" si="4">D19*(1-$B$10)</f>
        <v>129200</v>
      </c>
      <c r="E20" s="11">
        <f t="shared" si="4"/>
        <v>148325</v>
      </c>
      <c r="F20" s="11">
        <f t="shared" si="4"/>
        <v>171275</v>
      </c>
      <c r="G20" s="11">
        <f t="shared" si="4"/>
        <v>206125</v>
      </c>
      <c r="H20" s="11">
        <f t="shared" si="4"/>
        <v>280925</v>
      </c>
      <c r="I20" s="11">
        <f t="shared" si="4"/>
        <v>334475</v>
      </c>
      <c r="J20" s="11">
        <f t="shared" si="4"/>
        <v>383350</v>
      </c>
      <c r="K20" s="11">
        <f t="shared" si="4"/>
        <v>460700</v>
      </c>
      <c r="L20" s="11">
        <f t="shared" si="4"/>
        <v>531250</v>
      </c>
      <c r="M20" s="11">
        <f t="shared" si="4"/>
        <v>612000</v>
      </c>
      <c r="N20" s="11">
        <f t="shared" si="4"/>
        <v>667250</v>
      </c>
      <c r="O20" s="11">
        <f t="shared" si="4"/>
        <v>722500</v>
      </c>
      <c r="P20" s="11">
        <f t="shared" si="4"/>
        <v>758200</v>
      </c>
      <c r="Q20" s="11">
        <f t="shared" si="4"/>
        <v>793900</v>
      </c>
      <c r="R20" s="11">
        <f t="shared" si="4"/>
        <v>826200</v>
      </c>
      <c r="S20" s="11">
        <f t="shared" si="4"/>
        <v>858500</v>
      </c>
      <c r="T20" s="11">
        <f t="shared" si="4"/>
        <v>890800</v>
      </c>
      <c r="U20" s="11">
        <f t="shared" si="4"/>
        <v>923100</v>
      </c>
      <c r="V20" s="11">
        <f t="shared" si="4"/>
        <v>955400</v>
      </c>
      <c r="W20" s="11">
        <f t="shared" si="4"/>
        <v>987700</v>
      </c>
      <c r="X20" s="11">
        <f t="shared" si="4"/>
        <v>1020000</v>
      </c>
      <c r="Y20" s="11">
        <f t="shared" si="4"/>
        <v>1052300</v>
      </c>
      <c r="Z20" s="11">
        <f t="shared" si="4"/>
        <v>1084600</v>
      </c>
      <c r="AA20" s="11">
        <f t="shared" si="4"/>
        <v>1116900</v>
      </c>
    </row>
    <row r="22" spans="1:27" x14ac:dyDescent="0.3">
      <c r="A22" s="2" t="s">
        <v>17</v>
      </c>
      <c r="D22" s="10">
        <f t="shared" ref="D22:AA22" si="5">D14*$B$11</f>
        <v>20000</v>
      </c>
      <c r="E22" s="10">
        <f t="shared" si="5"/>
        <v>23750</v>
      </c>
      <c r="F22" s="10">
        <f t="shared" si="5"/>
        <v>28250</v>
      </c>
      <c r="G22" s="10">
        <f t="shared" si="5"/>
        <v>33750</v>
      </c>
      <c r="H22" s="10">
        <f t="shared" si="5"/>
        <v>47750</v>
      </c>
      <c r="I22" s="10">
        <f t="shared" si="5"/>
        <v>56250</v>
      </c>
      <c r="J22" s="10">
        <f t="shared" si="5"/>
        <v>62500</v>
      </c>
      <c r="K22" s="10">
        <f t="shared" si="5"/>
        <v>75000</v>
      </c>
      <c r="L22" s="10">
        <f t="shared" si="5"/>
        <v>87500</v>
      </c>
      <c r="M22" s="10">
        <f t="shared" si="5"/>
        <v>100000</v>
      </c>
      <c r="N22" s="10">
        <f t="shared" si="5"/>
        <v>107500</v>
      </c>
      <c r="O22" s="10">
        <f t="shared" si="5"/>
        <v>115000</v>
      </c>
      <c r="P22" s="10">
        <f t="shared" si="5"/>
        <v>120000</v>
      </c>
      <c r="Q22" s="10">
        <f t="shared" si="5"/>
        <v>125000</v>
      </c>
      <c r="R22" s="10">
        <f t="shared" si="5"/>
        <v>130000</v>
      </c>
      <c r="S22" s="10">
        <f t="shared" si="5"/>
        <v>135000</v>
      </c>
      <c r="T22" s="10">
        <f t="shared" si="5"/>
        <v>140000</v>
      </c>
      <c r="U22" s="10">
        <f t="shared" si="5"/>
        <v>145000</v>
      </c>
      <c r="V22" s="10">
        <f t="shared" si="5"/>
        <v>150000</v>
      </c>
      <c r="W22" s="10">
        <f t="shared" si="5"/>
        <v>155000</v>
      </c>
      <c r="X22" s="10">
        <f t="shared" si="5"/>
        <v>160000</v>
      </c>
      <c r="Y22" s="10">
        <f t="shared" si="5"/>
        <v>165000</v>
      </c>
      <c r="Z22" s="10">
        <f t="shared" si="5"/>
        <v>170000</v>
      </c>
      <c r="AA22" s="10">
        <f t="shared" si="5"/>
        <v>175000</v>
      </c>
    </row>
  </sheetData>
  <mergeCells count="3">
    <mergeCell ref="A1:AA1"/>
    <mergeCell ref="A3:AA3"/>
    <mergeCell ref="A2:AA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5" sqref="A5:XFD31"/>
    </sheetView>
  </sheetViews>
  <sheetFormatPr defaultRowHeight="14.4" x14ac:dyDescent="0.3"/>
  <cols>
    <col min="1" max="1" width="30" customWidth="1"/>
    <col min="2" max="3" width="12" customWidth="1"/>
    <col min="4" max="27" width="10" customWidth="1"/>
  </cols>
  <sheetData>
    <row r="1" spans="1:27" ht="25.95" customHeight="1" x14ac:dyDescent="0.3">
      <c r="A1" s="27" t="s">
        <v>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 x14ac:dyDescent="0.3">
      <c r="A2" s="29" t="s">
        <v>19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x14ac:dyDescent="0.3">
      <c r="A3" s="29" t="s">
        <v>20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5" spans="1:27" ht="18" customHeight="1" x14ac:dyDescent="0.3">
      <c r="A5" s="12" t="s">
        <v>21</v>
      </c>
      <c r="B5" s="12" t="s">
        <v>22</v>
      </c>
      <c r="C5" s="12" t="s">
        <v>23</v>
      </c>
      <c r="D5" s="7">
        <v>46023</v>
      </c>
      <c r="E5" s="7">
        <v>46054</v>
      </c>
      <c r="F5" s="7">
        <v>46082</v>
      </c>
      <c r="G5" s="7">
        <v>46113</v>
      </c>
      <c r="H5" s="7">
        <v>46143</v>
      </c>
      <c r="I5" s="7">
        <v>46174</v>
      </c>
      <c r="J5" s="7">
        <v>46204</v>
      </c>
      <c r="K5" s="7">
        <v>46235</v>
      </c>
      <c r="L5" s="7">
        <v>46266</v>
      </c>
      <c r="M5" s="7">
        <v>46296</v>
      </c>
      <c r="N5" s="7">
        <v>46327</v>
      </c>
      <c r="O5" s="7">
        <v>46357</v>
      </c>
      <c r="P5" s="7">
        <v>46388</v>
      </c>
      <c r="Q5" s="7">
        <v>46419</v>
      </c>
      <c r="R5" s="7">
        <v>46447</v>
      </c>
      <c r="S5" s="7">
        <v>46478</v>
      </c>
      <c r="T5" s="7">
        <v>46508</v>
      </c>
      <c r="U5" s="7">
        <v>46539</v>
      </c>
      <c r="V5" s="7">
        <v>46569</v>
      </c>
      <c r="W5" s="7">
        <v>46600</v>
      </c>
      <c r="X5" s="7">
        <v>46631</v>
      </c>
      <c r="Y5" s="7">
        <v>46661</v>
      </c>
      <c r="Z5" s="7">
        <v>46692</v>
      </c>
      <c r="AA5" s="7">
        <v>46722</v>
      </c>
    </row>
    <row r="6" spans="1:27" x14ac:dyDescent="0.3">
      <c r="A6" s="1" t="s">
        <v>24</v>
      </c>
      <c r="B6" s="3">
        <v>1500</v>
      </c>
      <c r="C6" s="3">
        <v>4000</v>
      </c>
    </row>
    <row r="7" spans="1:27" x14ac:dyDescent="0.3">
      <c r="A7" s="13" t="s">
        <v>25</v>
      </c>
      <c r="D7" s="14">
        <v>10</v>
      </c>
      <c r="E7" s="14">
        <v>11</v>
      </c>
      <c r="F7" s="14">
        <v>11</v>
      </c>
      <c r="G7" s="14">
        <v>12</v>
      </c>
      <c r="H7" s="14">
        <v>12</v>
      </c>
      <c r="I7" s="14">
        <v>13</v>
      </c>
      <c r="J7" s="14">
        <v>14</v>
      </c>
      <c r="K7" s="14">
        <v>14</v>
      </c>
      <c r="L7" s="14">
        <v>15</v>
      </c>
      <c r="M7" s="14">
        <v>15</v>
      </c>
      <c r="N7" s="14">
        <v>16</v>
      </c>
      <c r="O7" s="14">
        <v>17</v>
      </c>
      <c r="P7" s="14">
        <v>17</v>
      </c>
      <c r="Q7" s="14">
        <v>18</v>
      </c>
      <c r="R7" s="14">
        <v>19</v>
      </c>
      <c r="S7" s="14">
        <v>19</v>
      </c>
      <c r="T7" s="14">
        <v>20</v>
      </c>
      <c r="U7" s="14">
        <v>20</v>
      </c>
      <c r="V7" s="14">
        <v>21</v>
      </c>
      <c r="W7" s="14">
        <v>22</v>
      </c>
      <c r="X7" s="14">
        <v>22</v>
      </c>
      <c r="Y7" s="14">
        <v>23</v>
      </c>
      <c r="Z7" s="14">
        <v>23</v>
      </c>
      <c r="AA7" s="14">
        <v>24</v>
      </c>
    </row>
    <row r="8" spans="1:27" x14ac:dyDescent="0.3">
      <c r="A8" s="13" t="s">
        <v>26</v>
      </c>
      <c r="D8" s="14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>
        <v>2</v>
      </c>
      <c r="K8" s="14">
        <v>2</v>
      </c>
      <c r="L8" s="14">
        <v>2</v>
      </c>
      <c r="M8" s="14">
        <v>2</v>
      </c>
      <c r="N8" s="14">
        <v>2</v>
      </c>
      <c r="O8" s="14">
        <v>2</v>
      </c>
      <c r="P8" s="14">
        <v>2</v>
      </c>
      <c r="Q8" s="14">
        <v>2</v>
      </c>
      <c r="R8" s="14">
        <v>2</v>
      </c>
      <c r="S8" s="14">
        <v>2</v>
      </c>
      <c r="T8" s="14">
        <v>2</v>
      </c>
      <c r="U8" s="14">
        <v>2</v>
      </c>
      <c r="V8" s="14">
        <v>3</v>
      </c>
      <c r="W8" s="14">
        <v>3</v>
      </c>
      <c r="X8" s="14">
        <v>3</v>
      </c>
      <c r="Y8" s="14">
        <v>3</v>
      </c>
      <c r="Z8" s="14">
        <v>3</v>
      </c>
      <c r="AA8" s="14">
        <v>3</v>
      </c>
    </row>
    <row r="9" spans="1:27" x14ac:dyDescent="0.3">
      <c r="A9" s="15" t="s">
        <v>27</v>
      </c>
      <c r="D9" s="16">
        <f t="shared" ref="D9:AA9" si="0">D7*$B$6+D8*$C$6</f>
        <v>19000</v>
      </c>
      <c r="E9" s="16">
        <f t="shared" si="0"/>
        <v>20500</v>
      </c>
      <c r="F9" s="16">
        <f t="shared" si="0"/>
        <v>20500</v>
      </c>
      <c r="G9" s="16">
        <f t="shared" si="0"/>
        <v>22000</v>
      </c>
      <c r="H9" s="16">
        <f t="shared" si="0"/>
        <v>22000</v>
      </c>
      <c r="I9" s="16">
        <f t="shared" si="0"/>
        <v>23500</v>
      </c>
      <c r="J9" s="16">
        <f t="shared" si="0"/>
        <v>29000</v>
      </c>
      <c r="K9" s="16">
        <f t="shared" si="0"/>
        <v>29000</v>
      </c>
      <c r="L9" s="16">
        <f t="shared" si="0"/>
        <v>30500</v>
      </c>
      <c r="M9" s="16">
        <f t="shared" si="0"/>
        <v>30500</v>
      </c>
      <c r="N9" s="16">
        <f t="shared" si="0"/>
        <v>32000</v>
      </c>
      <c r="O9" s="16">
        <f t="shared" si="0"/>
        <v>33500</v>
      </c>
      <c r="P9" s="16">
        <f t="shared" si="0"/>
        <v>33500</v>
      </c>
      <c r="Q9" s="16">
        <f t="shared" si="0"/>
        <v>35000</v>
      </c>
      <c r="R9" s="16">
        <f t="shared" si="0"/>
        <v>36500</v>
      </c>
      <c r="S9" s="16">
        <f t="shared" si="0"/>
        <v>36500</v>
      </c>
      <c r="T9" s="16">
        <f t="shared" si="0"/>
        <v>38000</v>
      </c>
      <c r="U9" s="16">
        <f t="shared" si="0"/>
        <v>38000</v>
      </c>
      <c r="V9" s="16">
        <f t="shared" si="0"/>
        <v>43500</v>
      </c>
      <c r="W9" s="16">
        <f t="shared" si="0"/>
        <v>45000</v>
      </c>
      <c r="X9" s="16">
        <f t="shared" si="0"/>
        <v>45000</v>
      </c>
      <c r="Y9" s="16">
        <f t="shared" si="0"/>
        <v>46500</v>
      </c>
      <c r="Z9" s="16">
        <f t="shared" si="0"/>
        <v>46500</v>
      </c>
      <c r="AA9" s="16">
        <f t="shared" si="0"/>
        <v>48000</v>
      </c>
    </row>
    <row r="11" spans="1:27" x14ac:dyDescent="0.3">
      <c r="A11" s="1" t="s">
        <v>28</v>
      </c>
      <c r="B11" s="3">
        <v>1000</v>
      </c>
      <c r="C11" s="3">
        <v>3500</v>
      </c>
    </row>
    <row r="12" spans="1:27" x14ac:dyDescent="0.3">
      <c r="A12" s="13" t="s">
        <v>25</v>
      </c>
      <c r="D12" s="14">
        <v>8</v>
      </c>
      <c r="E12" s="14">
        <v>8</v>
      </c>
      <c r="F12" s="14">
        <v>9</v>
      </c>
      <c r="G12" s="14">
        <v>9</v>
      </c>
      <c r="H12" s="14">
        <v>9</v>
      </c>
      <c r="I12" s="14">
        <v>10</v>
      </c>
      <c r="J12" s="14">
        <v>10</v>
      </c>
      <c r="K12" s="14">
        <v>10</v>
      </c>
      <c r="L12" s="14">
        <v>11</v>
      </c>
      <c r="M12" s="14">
        <v>11</v>
      </c>
      <c r="N12" s="14">
        <v>11</v>
      </c>
      <c r="O12" s="14">
        <v>12</v>
      </c>
      <c r="P12" s="14">
        <v>12</v>
      </c>
      <c r="Q12" s="14">
        <v>13</v>
      </c>
      <c r="R12" s="14">
        <v>13</v>
      </c>
      <c r="S12" s="14">
        <v>13</v>
      </c>
      <c r="T12" s="14">
        <v>14</v>
      </c>
      <c r="U12" s="14">
        <v>14</v>
      </c>
      <c r="V12" s="14">
        <v>14</v>
      </c>
      <c r="W12" s="14">
        <v>15</v>
      </c>
      <c r="X12" s="14">
        <v>15</v>
      </c>
      <c r="Y12" s="14">
        <v>15</v>
      </c>
      <c r="Z12" s="14">
        <v>16</v>
      </c>
      <c r="AA12" s="14">
        <v>16</v>
      </c>
    </row>
    <row r="13" spans="1:27" x14ac:dyDescent="0.3">
      <c r="A13" s="13" t="s">
        <v>26</v>
      </c>
      <c r="D13" s="14">
        <v>1</v>
      </c>
      <c r="E13" s="14">
        <v>1</v>
      </c>
      <c r="F13" s="14">
        <v>1</v>
      </c>
      <c r="G13" s="14">
        <v>1</v>
      </c>
      <c r="H13" s="14">
        <v>1</v>
      </c>
      <c r="I13" s="14">
        <v>1</v>
      </c>
      <c r="J13" s="14">
        <v>1</v>
      </c>
      <c r="K13" s="14">
        <v>1</v>
      </c>
      <c r="L13" s="14">
        <v>1</v>
      </c>
      <c r="M13" s="14">
        <v>1</v>
      </c>
      <c r="N13" s="14">
        <v>1</v>
      </c>
      <c r="O13" s="14">
        <v>1</v>
      </c>
      <c r="P13" s="14">
        <v>2</v>
      </c>
      <c r="Q13" s="14">
        <v>2</v>
      </c>
      <c r="R13" s="14">
        <v>2</v>
      </c>
      <c r="S13" s="14">
        <v>2</v>
      </c>
      <c r="T13" s="14">
        <v>2</v>
      </c>
      <c r="U13" s="14">
        <v>2</v>
      </c>
      <c r="V13" s="14">
        <v>2</v>
      </c>
      <c r="W13" s="14">
        <v>2</v>
      </c>
      <c r="X13" s="14">
        <v>2</v>
      </c>
      <c r="Y13" s="14">
        <v>2</v>
      </c>
      <c r="Z13" s="14">
        <v>2</v>
      </c>
      <c r="AA13" s="14">
        <v>2</v>
      </c>
    </row>
    <row r="14" spans="1:27" x14ac:dyDescent="0.3">
      <c r="A14" s="15" t="s">
        <v>27</v>
      </c>
      <c r="D14" s="16">
        <f t="shared" ref="D14:AA14" si="1">D12*$B$11+D13*$C$11</f>
        <v>11500</v>
      </c>
      <c r="E14" s="16">
        <f t="shared" si="1"/>
        <v>11500</v>
      </c>
      <c r="F14" s="16">
        <f t="shared" si="1"/>
        <v>12500</v>
      </c>
      <c r="G14" s="16">
        <f t="shared" si="1"/>
        <v>12500</v>
      </c>
      <c r="H14" s="16">
        <f t="shared" si="1"/>
        <v>12500</v>
      </c>
      <c r="I14" s="16">
        <f t="shared" si="1"/>
        <v>13500</v>
      </c>
      <c r="J14" s="16">
        <f t="shared" si="1"/>
        <v>13500</v>
      </c>
      <c r="K14" s="16">
        <f t="shared" si="1"/>
        <v>13500</v>
      </c>
      <c r="L14" s="16">
        <f t="shared" si="1"/>
        <v>14500</v>
      </c>
      <c r="M14" s="16">
        <f t="shared" si="1"/>
        <v>14500</v>
      </c>
      <c r="N14" s="16">
        <f t="shared" si="1"/>
        <v>14500</v>
      </c>
      <c r="O14" s="16">
        <f t="shared" si="1"/>
        <v>15500</v>
      </c>
      <c r="P14" s="16">
        <f t="shared" si="1"/>
        <v>19000</v>
      </c>
      <c r="Q14" s="16">
        <f t="shared" si="1"/>
        <v>20000</v>
      </c>
      <c r="R14" s="16">
        <f t="shared" si="1"/>
        <v>20000</v>
      </c>
      <c r="S14" s="16">
        <f t="shared" si="1"/>
        <v>20000</v>
      </c>
      <c r="T14" s="16">
        <f t="shared" si="1"/>
        <v>21000</v>
      </c>
      <c r="U14" s="16">
        <f t="shared" si="1"/>
        <v>21000</v>
      </c>
      <c r="V14" s="16">
        <f t="shared" si="1"/>
        <v>21000</v>
      </c>
      <c r="W14" s="16">
        <f t="shared" si="1"/>
        <v>22000</v>
      </c>
      <c r="X14" s="16">
        <f t="shared" si="1"/>
        <v>22000</v>
      </c>
      <c r="Y14" s="16">
        <f t="shared" si="1"/>
        <v>22000</v>
      </c>
      <c r="Z14" s="16">
        <f t="shared" si="1"/>
        <v>23000</v>
      </c>
      <c r="AA14" s="16">
        <f t="shared" si="1"/>
        <v>23000</v>
      </c>
    </row>
    <row r="16" spans="1:27" x14ac:dyDescent="0.3">
      <c r="A16" s="1" t="s">
        <v>29</v>
      </c>
      <c r="B16" s="3">
        <v>2000</v>
      </c>
      <c r="C16" s="3">
        <v>0</v>
      </c>
    </row>
    <row r="17" spans="1:27" x14ac:dyDescent="0.3">
      <c r="A17" s="13" t="s">
        <v>25</v>
      </c>
      <c r="D17" s="14">
        <v>12</v>
      </c>
      <c r="E17" s="14">
        <v>12</v>
      </c>
      <c r="F17" s="14">
        <v>13</v>
      </c>
      <c r="G17" s="14">
        <v>13</v>
      </c>
      <c r="H17" s="14">
        <v>13</v>
      </c>
      <c r="I17" s="14">
        <v>14</v>
      </c>
      <c r="J17" s="14">
        <v>14</v>
      </c>
      <c r="K17" s="14">
        <v>14</v>
      </c>
      <c r="L17" s="14">
        <v>15</v>
      </c>
      <c r="M17" s="14">
        <v>15</v>
      </c>
      <c r="N17" s="14">
        <v>15</v>
      </c>
      <c r="O17" s="14">
        <v>16</v>
      </c>
      <c r="P17" s="14">
        <v>16</v>
      </c>
      <c r="Q17" s="14">
        <v>17</v>
      </c>
      <c r="R17" s="14">
        <v>17</v>
      </c>
      <c r="S17" s="14">
        <v>17</v>
      </c>
      <c r="T17" s="14">
        <v>18</v>
      </c>
      <c r="U17" s="14">
        <v>18</v>
      </c>
      <c r="V17" s="14">
        <v>18</v>
      </c>
      <c r="W17" s="14">
        <v>19</v>
      </c>
      <c r="X17" s="14">
        <v>19</v>
      </c>
      <c r="Y17" s="14">
        <v>19</v>
      </c>
      <c r="Z17" s="14">
        <v>20</v>
      </c>
      <c r="AA17" s="14">
        <v>20</v>
      </c>
    </row>
    <row r="18" spans="1:27" x14ac:dyDescent="0.3">
      <c r="A18" s="13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</row>
    <row r="19" spans="1:27" x14ac:dyDescent="0.3">
      <c r="A19" s="15" t="s">
        <v>27</v>
      </c>
      <c r="D19" s="16">
        <f t="shared" ref="D19:AA19" si="2">D17*$B$16+D18*$C$16</f>
        <v>24000</v>
      </c>
      <c r="E19" s="16">
        <f t="shared" si="2"/>
        <v>24000</v>
      </c>
      <c r="F19" s="16">
        <f t="shared" si="2"/>
        <v>26000</v>
      </c>
      <c r="G19" s="16">
        <f t="shared" si="2"/>
        <v>26000</v>
      </c>
      <c r="H19" s="16">
        <f t="shared" si="2"/>
        <v>26000</v>
      </c>
      <c r="I19" s="16">
        <f t="shared" si="2"/>
        <v>28000</v>
      </c>
      <c r="J19" s="16">
        <f t="shared" si="2"/>
        <v>28000</v>
      </c>
      <c r="K19" s="16">
        <f t="shared" si="2"/>
        <v>28000</v>
      </c>
      <c r="L19" s="16">
        <f t="shared" si="2"/>
        <v>30000</v>
      </c>
      <c r="M19" s="16">
        <f t="shared" si="2"/>
        <v>30000</v>
      </c>
      <c r="N19" s="16">
        <f t="shared" si="2"/>
        <v>30000</v>
      </c>
      <c r="O19" s="16">
        <f t="shared" si="2"/>
        <v>32000</v>
      </c>
      <c r="P19" s="16">
        <f t="shared" si="2"/>
        <v>32000</v>
      </c>
      <c r="Q19" s="16">
        <f t="shared" si="2"/>
        <v>34000</v>
      </c>
      <c r="R19" s="16">
        <f t="shared" si="2"/>
        <v>34000</v>
      </c>
      <c r="S19" s="16">
        <f t="shared" si="2"/>
        <v>34000</v>
      </c>
      <c r="T19" s="16">
        <f t="shared" si="2"/>
        <v>36000</v>
      </c>
      <c r="U19" s="16">
        <f t="shared" si="2"/>
        <v>36000</v>
      </c>
      <c r="V19" s="16">
        <f t="shared" si="2"/>
        <v>36000</v>
      </c>
      <c r="W19" s="16">
        <f t="shared" si="2"/>
        <v>38000</v>
      </c>
      <c r="X19" s="16">
        <f t="shared" si="2"/>
        <v>38000</v>
      </c>
      <c r="Y19" s="16">
        <f t="shared" si="2"/>
        <v>38000</v>
      </c>
      <c r="Z19" s="16">
        <f t="shared" si="2"/>
        <v>40000</v>
      </c>
      <c r="AA19" s="16">
        <f t="shared" si="2"/>
        <v>40000</v>
      </c>
    </row>
    <row r="21" spans="1:27" x14ac:dyDescent="0.3">
      <c r="A21" s="1" t="s">
        <v>30</v>
      </c>
      <c r="B21" s="3">
        <v>1500</v>
      </c>
      <c r="C21" s="3">
        <v>4000</v>
      </c>
    </row>
    <row r="22" spans="1:27" x14ac:dyDescent="0.3">
      <c r="A22" s="13" t="s">
        <v>25</v>
      </c>
      <c r="D22" s="14">
        <v>5</v>
      </c>
      <c r="E22" s="14">
        <v>5</v>
      </c>
      <c r="F22" s="14">
        <v>6</v>
      </c>
      <c r="G22" s="14">
        <v>6</v>
      </c>
      <c r="H22" s="14">
        <v>6</v>
      </c>
      <c r="I22" s="14">
        <v>7</v>
      </c>
      <c r="J22" s="14">
        <v>7</v>
      </c>
      <c r="K22" s="14">
        <v>7</v>
      </c>
      <c r="L22" s="14">
        <v>7</v>
      </c>
      <c r="M22" s="14">
        <v>8</v>
      </c>
      <c r="N22" s="14">
        <v>8</v>
      </c>
      <c r="O22" s="14">
        <v>8</v>
      </c>
      <c r="P22" s="14">
        <v>9</v>
      </c>
      <c r="Q22" s="14">
        <v>9</v>
      </c>
      <c r="R22" s="14">
        <v>9</v>
      </c>
      <c r="S22" s="14">
        <v>10</v>
      </c>
      <c r="T22" s="14">
        <v>10</v>
      </c>
      <c r="U22" s="14">
        <v>10</v>
      </c>
      <c r="V22" s="14">
        <v>10</v>
      </c>
      <c r="W22" s="14">
        <v>11</v>
      </c>
      <c r="X22" s="14">
        <v>11</v>
      </c>
      <c r="Y22" s="14">
        <v>11</v>
      </c>
      <c r="Z22" s="14">
        <v>12</v>
      </c>
      <c r="AA22" s="14">
        <v>12</v>
      </c>
    </row>
    <row r="23" spans="1:27" x14ac:dyDescent="0.3">
      <c r="A23" s="13" t="s">
        <v>26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1</v>
      </c>
      <c r="Q23" s="14">
        <v>1</v>
      </c>
      <c r="R23" s="14">
        <v>1</v>
      </c>
      <c r="S23" s="14">
        <v>1</v>
      </c>
      <c r="T23" s="14">
        <v>1</v>
      </c>
      <c r="U23" s="14">
        <v>1</v>
      </c>
      <c r="V23" s="14">
        <v>1</v>
      </c>
      <c r="W23" s="14">
        <v>1</v>
      </c>
      <c r="X23" s="14">
        <v>1</v>
      </c>
      <c r="Y23" s="14">
        <v>1</v>
      </c>
      <c r="Z23" s="14">
        <v>1</v>
      </c>
      <c r="AA23" s="14">
        <v>1</v>
      </c>
    </row>
    <row r="24" spans="1:27" x14ac:dyDescent="0.3">
      <c r="A24" s="15" t="s">
        <v>27</v>
      </c>
      <c r="D24" s="16">
        <f t="shared" ref="D24:AA24" si="3">D22*$B$21+D23*$C$21</f>
        <v>7500</v>
      </c>
      <c r="E24" s="16">
        <f t="shared" si="3"/>
        <v>7500</v>
      </c>
      <c r="F24" s="16">
        <f t="shared" si="3"/>
        <v>9000</v>
      </c>
      <c r="G24" s="16">
        <f t="shared" si="3"/>
        <v>9000</v>
      </c>
      <c r="H24" s="16">
        <f t="shared" si="3"/>
        <v>9000</v>
      </c>
      <c r="I24" s="16">
        <f t="shared" si="3"/>
        <v>10500</v>
      </c>
      <c r="J24" s="16">
        <f t="shared" si="3"/>
        <v>10500</v>
      </c>
      <c r="K24" s="16">
        <f t="shared" si="3"/>
        <v>10500</v>
      </c>
      <c r="L24" s="16">
        <f t="shared" si="3"/>
        <v>10500</v>
      </c>
      <c r="M24" s="16">
        <f t="shared" si="3"/>
        <v>12000</v>
      </c>
      <c r="N24" s="16">
        <f t="shared" si="3"/>
        <v>12000</v>
      </c>
      <c r="O24" s="16">
        <f t="shared" si="3"/>
        <v>12000</v>
      </c>
      <c r="P24" s="16">
        <f t="shared" si="3"/>
        <v>17500</v>
      </c>
      <c r="Q24" s="16">
        <f t="shared" si="3"/>
        <v>17500</v>
      </c>
      <c r="R24" s="16">
        <f t="shared" si="3"/>
        <v>17500</v>
      </c>
      <c r="S24" s="16">
        <f t="shared" si="3"/>
        <v>19000</v>
      </c>
      <c r="T24" s="16">
        <f t="shared" si="3"/>
        <v>19000</v>
      </c>
      <c r="U24" s="16">
        <f t="shared" si="3"/>
        <v>19000</v>
      </c>
      <c r="V24" s="16">
        <f t="shared" si="3"/>
        <v>19000</v>
      </c>
      <c r="W24" s="16">
        <f t="shared" si="3"/>
        <v>20500</v>
      </c>
      <c r="X24" s="16">
        <f t="shared" si="3"/>
        <v>20500</v>
      </c>
      <c r="Y24" s="16">
        <f t="shared" si="3"/>
        <v>20500</v>
      </c>
      <c r="Z24" s="16">
        <f t="shared" si="3"/>
        <v>22000</v>
      </c>
      <c r="AA24" s="16">
        <f t="shared" si="3"/>
        <v>22000</v>
      </c>
    </row>
    <row r="26" spans="1:27" x14ac:dyDescent="0.3">
      <c r="A26" s="1" t="s">
        <v>31</v>
      </c>
      <c r="B26" s="3">
        <v>1200</v>
      </c>
      <c r="C26" s="3">
        <v>3000</v>
      </c>
    </row>
    <row r="27" spans="1:27" x14ac:dyDescent="0.3">
      <c r="A27" s="13" t="s">
        <v>25</v>
      </c>
      <c r="D27" s="14">
        <v>4</v>
      </c>
      <c r="E27" s="14">
        <v>4</v>
      </c>
      <c r="F27" s="14">
        <v>5</v>
      </c>
      <c r="G27" s="14">
        <v>5</v>
      </c>
      <c r="H27" s="14">
        <v>5</v>
      </c>
      <c r="I27" s="14">
        <v>5</v>
      </c>
      <c r="J27" s="14">
        <v>6</v>
      </c>
      <c r="K27" s="14">
        <v>6</v>
      </c>
      <c r="L27" s="14">
        <v>6</v>
      </c>
      <c r="M27" s="14">
        <v>6</v>
      </c>
      <c r="N27" s="14">
        <v>7</v>
      </c>
      <c r="O27" s="14">
        <v>7</v>
      </c>
      <c r="P27" s="14">
        <v>7</v>
      </c>
      <c r="Q27" s="14">
        <v>7</v>
      </c>
      <c r="R27" s="14">
        <v>8</v>
      </c>
      <c r="S27" s="14">
        <v>8</v>
      </c>
      <c r="T27" s="14">
        <v>8</v>
      </c>
      <c r="U27" s="14">
        <v>8</v>
      </c>
      <c r="V27" s="14">
        <v>9</v>
      </c>
      <c r="W27" s="14">
        <v>9</v>
      </c>
      <c r="X27" s="14">
        <v>9</v>
      </c>
      <c r="Y27" s="14">
        <v>9</v>
      </c>
      <c r="Z27" s="14">
        <v>10</v>
      </c>
      <c r="AA27" s="14">
        <v>10</v>
      </c>
    </row>
    <row r="28" spans="1:27" x14ac:dyDescent="0.3">
      <c r="A28" s="13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1</v>
      </c>
      <c r="Q28" s="14">
        <v>1</v>
      </c>
      <c r="R28" s="14">
        <v>1</v>
      </c>
      <c r="S28" s="14">
        <v>1</v>
      </c>
      <c r="T28" s="14">
        <v>1</v>
      </c>
      <c r="U28" s="14">
        <v>1</v>
      </c>
      <c r="V28" s="14">
        <v>1</v>
      </c>
      <c r="W28" s="14">
        <v>1</v>
      </c>
      <c r="X28" s="14">
        <v>1</v>
      </c>
      <c r="Y28" s="14">
        <v>1</v>
      </c>
      <c r="Z28" s="14">
        <v>1</v>
      </c>
      <c r="AA28" s="14">
        <v>1</v>
      </c>
    </row>
    <row r="29" spans="1:27" x14ac:dyDescent="0.3">
      <c r="A29" s="15" t="s">
        <v>27</v>
      </c>
      <c r="D29" s="16">
        <f t="shared" ref="D29:AA29" si="4">D27*$B$26+D28*$C$26</f>
        <v>4800</v>
      </c>
      <c r="E29" s="16">
        <f t="shared" si="4"/>
        <v>4800</v>
      </c>
      <c r="F29" s="16">
        <f t="shared" si="4"/>
        <v>6000</v>
      </c>
      <c r="G29" s="16">
        <f t="shared" si="4"/>
        <v>6000</v>
      </c>
      <c r="H29" s="16">
        <f t="shared" si="4"/>
        <v>6000</v>
      </c>
      <c r="I29" s="16">
        <f t="shared" si="4"/>
        <v>6000</v>
      </c>
      <c r="J29" s="16">
        <f t="shared" si="4"/>
        <v>7200</v>
      </c>
      <c r="K29" s="16">
        <f t="shared" si="4"/>
        <v>7200</v>
      </c>
      <c r="L29" s="16">
        <f t="shared" si="4"/>
        <v>7200</v>
      </c>
      <c r="M29" s="16">
        <f t="shared" si="4"/>
        <v>7200</v>
      </c>
      <c r="N29" s="16">
        <f t="shared" si="4"/>
        <v>8400</v>
      </c>
      <c r="O29" s="16">
        <f t="shared" si="4"/>
        <v>8400</v>
      </c>
      <c r="P29" s="16">
        <f t="shared" si="4"/>
        <v>11400</v>
      </c>
      <c r="Q29" s="16">
        <f t="shared" si="4"/>
        <v>11400</v>
      </c>
      <c r="R29" s="16">
        <f t="shared" si="4"/>
        <v>12600</v>
      </c>
      <c r="S29" s="16">
        <f t="shared" si="4"/>
        <v>12600</v>
      </c>
      <c r="T29" s="16">
        <f t="shared" si="4"/>
        <v>12600</v>
      </c>
      <c r="U29" s="16">
        <f t="shared" si="4"/>
        <v>12600</v>
      </c>
      <c r="V29" s="16">
        <f t="shared" si="4"/>
        <v>13800</v>
      </c>
      <c r="W29" s="16">
        <f t="shared" si="4"/>
        <v>13800</v>
      </c>
      <c r="X29" s="16">
        <f t="shared" si="4"/>
        <v>13800</v>
      </c>
      <c r="Y29" s="16">
        <f t="shared" si="4"/>
        <v>13800</v>
      </c>
      <c r="Z29" s="16">
        <f t="shared" si="4"/>
        <v>15000</v>
      </c>
      <c r="AA29" s="16">
        <f t="shared" si="4"/>
        <v>15000</v>
      </c>
    </row>
    <row r="31" spans="1:27" x14ac:dyDescent="0.3">
      <c r="A31" s="1" t="s">
        <v>32</v>
      </c>
      <c r="D31" s="11">
        <f t="shared" ref="D31:AA31" si="5">SUM(D9,D14,D19,D24,D29)</f>
        <v>66800</v>
      </c>
      <c r="E31" s="11">
        <f t="shared" si="5"/>
        <v>68300</v>
      </c>
      <c r="F31" s="11">
        <f t="shared" si="5"/>
        <v>74000</v>
      </c>
      <c r="G31" s="11">
        <f t="shared" si="5"/>
        <v>75500</v>
      </c>
      <c r="H31" s="11">
        <f t="shared" si="5"/>
        <v>75500</v>
      </c>
      <c r="I31" s="11">
        <f t="shared" si="5"/>
        <v>81500</v>
      </c>
      <c r="J31" s="11">
        <f t="shared" si="5"/>
        <v>88200</v>
      </c>
      <c r="K31" s="11">
        <f t="shared" si="5"/>
        <v>88200</v>
      </c>
      <c r="L31" s="11">
        <f t="shared" si="5"/>
        <v>92700</v>
      </c>
      <c r="M31" s="11">
        <f t="shared" si="5"/>
        <v>94200</v>
      </c>
      <c r="N31" s="11">
        <f t="shared" si="5"/>
        <v>96900</v>
      </c>
      <c r="O31" s="11">
        <f t="shared" si="5"/>
        <v>101400</v>
      </c>
      <c r="P31" s="11">
        <f t="shared" si="5"/>
        <v>113400</v>
      </c>
      <c r="Q31" s="11">
        <f t="shared" si="5"/>
        <v>117900</v>
      </c>
      <c r="R31" s="11">
        <f t="shared" si="5"/>
        <v>120600</v>
      </c>
      <c r="S31" s="11">
        <f t="shared" si="5"/>
        <v>122100</v>
      </c>
      <c r="T31" s="11">
        <f t="shared" si="5"/>
        <v>126600</v>
      </c>
      <c r="U31" s="11">
        <f t="shared" si="5"/>
        <v>126600</v>
      </c>
      <c r="V31" s="11">
        <f t="shared" si="5"/>
        <v>133300</v>
      </c>
      <c r="W31" s="11">
        <f t="shared" si="5"/>
        <v>139300</v>
      </c>
      <c r="X31" s="11">
        <f t="shared" si="5"/>
        <v>139300</v>
      </c>
      <c r="Y31" s="11">
        <f t="shared" si="5"/>
        <v>140800</v>
      </c>
      <c r="Z31" s="11">
        <f t="shared" si="5"/>
        <v>146500</v>
      </c>
      <c r="AA31" s="11">
        <f t="shared" si="5"/>
        <v>148000</v>
      </c>
    </row>
  </sheetData>
  <mergeCells count="3">
    <mergeCell ref="A1:AA1"/>
    <mergeCell ref="A3:AA3"/>
    <mergeCell ref="A2:AA2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8"/>
  <sheetViews>
    <sheetView showGridLines="0" tabSelected="1" workbookViewId="0">
      <pane xSplit="15" ySplit="10" topLeftCell="P27" activePane="bottomRight" state="frozen"/>
      <selection pane="topRight"/>
      <selection pane="bottomLeft"/>
      <selection pane="bottomRight" activeCell="M32" sqref="M32"/>
    </sheetView>
  </sheetViews>
  <sheetFormatPr defaultRowHeight="14.4" x14ac:dyDescent="0.3"/>
  <cols>
    <col min="1" max="1" width="30" customWidth="1"/>
    <col min="2" max="14" width="11" customWidth="1"/>
    <col min="15" max="15" width="3" customWidth="1"/>
    <col min="16" max="39" width="10" customWidth="1"/>
  </cols>
  <sheetData>
    <row r="1" spans="1:39" ht="25.95" customHeight="1" x14ac:dyDescent="0.3">
      <c r="A1" s="27" t="s">
        <v>33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</row>
    <row r="2" spans="1:39" x14ac:dyDescent="0.3">
      <c r="A2" s="29" t="s">
        <v>34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</row>
    <row r="3" spans="1:39" x14ac:dyDescent="0.3">
      <c r="A3" s="29" t="s">
        <v>35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x14ac:dyDescent="0.3">
      <c r="A4" s="29" t="s">
        <v>36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x14ac:dyDescent="0.3">
      <c r="A5" s="29" t="s">
        <v>37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x14ac:dyDescent="0.3">
      <c r="A6" s="29" t="s">
        <v>38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8" spans="1:39" ht="30" customHeight="1" x14ac:dyDescent="0.3">
      <c r="A8" s="17" t="s">
        <v>39</v>
      </c>
      <c r="B8" s="17" t="s">
        <v>40</v>
      </c>
      <c r="C8" s="17" t="s">
        <v>41</v>
      </c>
      <c r="D8" s="17" t="s">
        <v>42</v>
      </c>
      <c r="E8" s="17" t="s">
        <v>43</v>
      </c>
      <c r="F8" s="17" t="s">
        <v>44</v>
      </c>
      <c r="G8" s="17" t="s">
        <v>45</v>
      </c>
      <c r="H8" s="17" t="s">
        <v>46</v>
      </c>
      <c r="I8" s="17" t="s">
        <v>47</v>
      </c>
      <c r="J8" s="17" t="s">
        <v>48</v>
      </c>
      <c r="K8" s="17" t="s">
        <v>49</v>
      </c>
      <c r="L8" s="18" t="s">
        <v>50</v>
      </c>
      <c r="M8" s="18" t="s">
        <v>51</v>
      </c>
      <c r="N8" s="18" t="s">
        <v>52</v>
      </c>
      <c r="P8" s="7">
        <v>46023</v>
      </c>
      <c r="Q8" s="7">
        <v>46054</v>
      </c>
      <c r="R8" s="7">
        <v>46082</v>
      </c>
      <c r="S8" s="7">
        <v>46113</v>
      </c>
      <c r="T8" s="7">
        <v>46143</v>
      </c>
      <c r="U8" s="7">
        <v>46174</v>
      </c>
      <c r="V8" s="7">
        <v>46204</v>
      </c>
      <c r="W8" s="7">
        <v>46235</v>
      </c>
      <c r="X8" s="7">
        <v>46266</v>
      </c>
      <c r="Y8" s="7">
        <v>46296</v>
      </c>
      <c r="Z8" s="7">
        <v>46327</v>
      </c>
      <c r="AA8" s="7">
        <v>46357</v>
      </c>
      <c r="AB8" s="7">
        <v>46388</v>
      </c>
      <c r="AC8" s="7">
        <v>46419</v>
      </c>
      <c r="AD8" s="7">
        <v>46447</v>
      </c>
      <c r="AE8" s="7">
        <v>46478</v>
      </c>
      <c r="AF8" s="7">
        <v>46508</v>
      </c>
      <c r="AG8" s="7">
        <v>46539</v>
      </c>
      <c r="AH8" s="7">
        <v>46569</v>
      </c>
      <c r="AI8" s="7">
        <v>46600</v>
      </c>
      <c r="AJ8" s="7">
        <v>46631</v>
      </c>
      <c r="AK8" s="7">
        <v>46661</v>
      </c>
      <c r="AL8" s="7">
        <v>46692</v>
      </c>
      <c r="AM8" s="7">
        <v>46722</v>
      </c>
    </row>
    <row r="9" spans="1:39" x14ac:dyDescent="0.3">
      <c r="A9" s="19" t="s">
        <v>53</v>
      </c>
      <c r="P9" s="20">
        <f t="shared" ref="P9:AM9" si="0">YEAR(P8)*12+MONTH(P8)</f>
        <v>24313</v>
      </c>
      <c r="Q9" s="20">
        <f t="shared" si="0"/>
        <v>24314</v>
      </c>
      <c r="R9" s="20">
        <f t="shared" si="0"/>
        <v>24315</v>
      </c>
      <c r="S9" s="20">
        <f t="shared" si="0"/>
        <v>24316</v>
      </c>
      <c r="T9" s="20">
        <f t="shared" si="0"/>
        <v>24317</v>
      </c>
      <c r="U9" s="20">
        <f t="shared" si="0"/>
        <v>24318</v>
      </c>
      <c r="V9" s="20">
        <f t="shared" si="0"/>
        <v>24319</v>
      </c>
      <c r="W9" s="20">
        <f t="shared" si="0"/>
        <v>24320</v>
      </c>
      <c r="X9" s="20">
        <f t="shared" si="0"/>
        <v>24321</v>
      </c>
      <c r="Y9" s="20">
        <f t="shared" si="0"/>
        <v>24322</v>
      </c>
      <c r="Z9" s="20">
        <f t="shared" si="0"/>
        <v>24323</v>
      </c>
      <c r="AA9" s="20">
        <f t="shared" si="0"/>
        <v>24324</v>
      </c>
      <c r="AB9" s="20">
        <f t="shared" si="0"/>
        <v>24325</v>
      </c>
      <c r="AC9" s="20">
        <f t="shared" si="0"/>
        <v>24326</v>
      </c>
      <c r="AD9" s="20">
        <f t="shared" si="0"/>
        <v>24327</v>
      </c>
      <c r="AE9" s="20">
        <f t="shared" si="0"/>
        <v>24328</v>
      </c>
      <c r="AF9" s="20">
        <f t="shared" si="0"/>
        <v>24329</v>
      </c>
      <c r="AG9" s="20">
        <f t="shared" si="0"/>
        <v>24330</v>
      </c>
      <c r="AH9" s="20">
        <f t="shared" si="0"/>
        <v>24331</v>
      </c>
      <c r="AI9" s="20">
        <f t="shared" si="0"/>
        <v>24332</v>
      </c>
      <c r="AJ9" s="20">
        <f t="shared" si="0"/>
        <v>24333</v>
      </c>
      <c r="AK9" s="20">
        <f t="shared" si="0"/>
        <v>24334</v>
      </c>
      <c r="AL9" s="20">
        <f t="shared" si="0"/>
        <v>24335</v>
      </c>
      <c r="AM9" s="20">
        <f t="shared" si="0"/>
        <v>24336</v>
      </c>
    </row>
    <row r="11" spans="1:39" x14ac:dyDescent="0.3">
      <c r="A11" s="21" t="s">
        <v>24</v>
      </c>
      <c r="B11" s="22" t="s">
        <v>54</v>
      </c>
      <c r="C11" s="4">
        <v>1</v>
      </c>
      <c r="D11" s="3">
        <v>54000</v>
      </c>
      <c r="E11" s="5">
        <v>12</v>
      </c>
      <c r="F11" s="23">
        <v>46023</v>
      </c>
      <c r="G11" s="22" t="s">
        <v>55</v>
      </c>
      <c r="H11" s="22" t="s">
        <v>56</v>
      </c>
      <c r="I11" s="3">
        <v>4000</v>
      </c>
      <c r="J11" s="5">
        <v>6</v>
      </c>
      <c r="K11" s="5">
        <v>1</v>
      </c>
      <c r="L11" s="24">
        <f>YEAR(F11)*12+MONTH(F11)</f>
        <v>24313</v>
      </c>
      <c r="M11" s="24">
        <f>L11+IF(G11="Month After Signing",1,0)</f>
        <v>24313</v>
      </c>
      <c r="N11" s="24">
        <f>M11+E11-1</f>
        <v>24324</v>
      </c>
    </row>
    <row r="12" spans="1:39" x14ac:dyDescent="0.3">
      <c r="A12" s="25" t="s">
        <v>57</v>
      </c>
      <c r="P12" s="10">
        <f t="shared" ref="P12:AM12" si="1">IF(AND(P$9&gt;=$M$11,P$9&lt;=$N$11),$D$11/$E$11*$C$11,0)</f>
        <v>4500</v>
      </c>
      <c r="Q12" s="10">
        <f t="shared" si="1"/>
        <v>4500</v>
      </c>
      <c r="R12" s="10">
        <f t="shared" si="1"/>
        <v>4500</v>
      </c>
      <c r="S12" s="10">
        <f t="shared" si="1"/>
        <v>4500</v>
      </c>
      <c r="T12" s="10">
        <f t="shared" si="1"/>
        <v>4500</v>
      </c>
      <c r="U12" s="10">
        <f t="shared" si="1"/>
        <v>4500</v>
      </c>
      <c r="V12" s="10">
        <f t="shared" si="1"/>
        <v>4500</v>
      </c>
      <c r="W12" s="10">
        <f t="shared" si="1"/>
        <v>4500</v>
      </c>
      <c r="X12" s="10">
        <f t="shared" si="1"/>
        <v>4500</v>
      </c>
      <c r="Y12" s="10">
        <f t="shared" si="1"/>
        <v>4500</v>
      </c>
      <c r="Z12" s="10">
        <f t="shared" si="1"/>
        <v>4500</v>
      </c>
      <c r="AA12" s="10">
        <f t="shared" si="1"/>
        <v>4500</v>
      </c>
      <c r="AB12" s="10">
        <f t="shared" si="1"/>
        <v>0</v>
      </c>
      <c r="AC12" s="10">
        <f t="shared" si="1"/>
        <v>0</v>
      </c>
      <c r="AD12" s="10">
        <f t="shared" si="1"/>
        <v>0</v>
      </c>
      <c r="AE12" s="10">
        <f t="shared" si="1"/>
        <v>0</v>
      </c>
      <c r="AF12" s="10">
        <f t="shared" si="1"/>
        <v>0</v>
      </c>
      <c r="AG12" s="10">
        <f t="shared" si="1"/>
        <v>0</v>
      </c>
      <c r="AH12" s="10">
        <f t="shared" si="1"/>
        <v>0</v>
      </c>
      <c r="AI12" s="10">
        <f t="shared" si="1"/>
        <v>0</v>
      </c>
      <c r="AJ12" s="10">
        <f t="shared" si="1"/>
        <v>0</v>
      </c>
      <c r="AK12" s="10">
        <f t="shared" si="1"/>
        <v>0</v>
      </c>
      <c r="AL12" s="10">
        <f t="shared" si="1"/>
        <v>0</v>
      </c>
      <c r="AM12" s="10">
        <f t="shared" si="1"/>
        <v>0</v>
      </c>
    </row>
    <row r="13" spans="1:39" x14ac:dyDescent="0.3">
      <c r="A13" s="25" t="s">
        <v>58</v>
      </c>
      <c r="P13" s="10">
        <f t="shared" ref="P13:AM13" si="2">IF($H$11="Lump Sum at Signing",IF(P$9=$L$11,$D$11*$C$11,0),IF(AND(P$9&gt;=$M$11,P$9&lt;=$N$11),$D$11/$E$11*$C$11,0))</f>
        <v>4500</v>
      </c>
      <c r="Q13" s="10">
        <f t="shared" si="2"/>
        <v>4500</v>
      </c>
      <c r="R13" s="10">
        <f t="shared" si="2"/>
        <v>4500</v>
      </c>
      <c r="S13" s="10">
        <f t="shared" si="2"/>
        <v>4500</v>
      </c>
      <c r="T13" s="10">
        <f t="shared" si="2"/>
        <v>4500</v>
      </c>
      <c r="U13" s="10">
        <f t="shared" si="2"/>
        <v>4500</v>
      </c>
      <c r="V13" s="10">
        <f t="shared" si="2"/>
        <v>4500</v>
      </c>
      <c r="W13" s="10">
        <f t="shared" si="2"/>
        <v>4500</v>
      </c>
      <c r="X13" s="10">
        <f t="shared" si="2"/>
        <v>4500</v>
      </c>
      <c r="Y13" s="10">
        <f t="shared" si="2"/>
        <v>4500</v>
      </c>
      <c r="Z13" s="10">
        <f t="shared" si="2"/>
        <v>4500</v>
      </c>
      <c r="AA13" s="10">
        <f t="shared" si="2"/>
        <v>4500</v>
      </c>
      <c r="AB13" s="10">
        <f t="shared" si="2"/>
        <v>0</v>
      </c>
      <c r="AC13" s="10">
        <f t="shared" si="2"/>
        <v>0</v>
      </c>
      <c r="AD13" s="10">
        <f t="shared" si="2"/>
        <v>0</v>
      </c>
      <c r="AE13" s="10">
        <f t="shared" si="2"/>
        <v>0</v>
      </c>
      <c r="AF13" s="10">
        <f t="shared" si="2"/>
        <v>0</v>
      </c>
      <c r="AG13" s="10">
        <f t="shared" si="2"/>
        <v>0</v>
      </c>
      <c r="AH13" s="10">
        <f t="shared" si="2"/>
        <v>0</v>
      </c>
      <c r="AI13" s="10">
        <f t="shared" si="2"/>
        <v>0</v>
      </c>
      <c r="AJ13" s="10">
        <f t="shared" si="2"/>
        <v>0</v>
      </c>
      <c r="AK13" s="10">
        <f t="shared" si="2"/>
        <v>0</v>
      </c>
      <c r="AL13" s="10">
        <f t="shared" si="2"/>
        <v>0</v>
      </c>
      <c r="AM13" s="10">
        <f t="shared" si="2"/>
        <v>0</v>
      </c>
    </row>
    <row r="14" spans="1:39" x14ac:dyDescent="0.3">
      <c r="A14" s="25" t="s">
        <v>59</v>
      </c>
      <c r="P14" s="10">
        <f t="shared" ref="P14:AM14" si="3">IF(AND(P$9&gt;=$M$11,P$9&lt;=$N$11),$I$11*$J$11*$C$11/$E$11,0)</f>
        <v>2000</v>
      </c>
      <c r="Q14" s="10">
        <f t="shared" si="3"/>
        <v>2000</v>
      </c>
      <c r="R14" s="10">
        <f t="shared" si="3"/>
        <v>2000</v>
      </c>
      <c r="S14" s="10">
        <f t="shared" si="3"/>
        <v>2000</v>
      </c>
      <c r="T14" s="10">
        <f t="shared" si="3"/>
        <v>2000</v>
      </c>
      <c r="U14" s="10">
        <f t="shared" si="3"/>
        <v>2000</v>
      </c>
      <c r="V14" s="10">
        <f t="shared" si="3"/>
        <v>2000</v>
      </c>
      <c r="W14" s="10">
        <f t="shared" si="3"/>
        <v>2000</v>
      </c>
      <c r="X14" s="10">
        <f t="shared" si="3"/>
        <v>2000</v>
      </c>
      <c r="Y14" s="10">
        <f t="shared" si="3"/>
        <v>2000</v>
      </c>
      <c r="Z14" s="10">
        <f t="shared" si="3"/>
        <v>2000</v>
      </c>
      <c r="AA14" s="10">
        <f t="shared" si="3"/>
        <v>2000</v>
      </c>
      <c r="AB14" s="10">
        <f t="shared" si="3"/>
        <v>0</v>
      </c>
      <c r="AC14" s="10">
        <f t="shared" si="3"/>
        <v>0</v>
      </c>
      <c r="AD14" s="10">
        <f t="shared" si="3"/>
        <v>0</v>
      </c>
      <c r="AE14" s="10">
        <f t="shared" si="3"/>
        <v>0</v>
      </c>
      <c r="AF14" s="10">
        <f t="shared" si="3"/>
        <v>0</v>
      </c>
      <c r="AG14" s="10">
        <f t="shared" si="3"/>
        <v>0</v>
      </c>
      <c r="AH14" s="10">
        <f t="shared" si="3"/>
        <v>0</v>
      </c>
      <c r="AI14" s="10">
        <f t="shared" si="3"/>
        <v>0</v>
      </c>
      <c r="AJ14" s="10">
        <f t="shared" si="3"/>
        <v>0</v>
      </c>
      <c r="AK14" s="10">
        <f t="shared" si="3"/>
        <v>0</v>
      </c>
      <c r="AL14" s="10">
        <f t="shared" si="3"/>
        <v>0</v>
      </c>
      <c r="AM14" s="10">
        <f t="shared" si="3"/>
        <v>0</v>
      </c>
    </row>
    <row r="15" spans="1:39" x14ac:dyDescent="0.3">
      <c r="A15" s="25" t="s">
        <v>60</v>
      </c>
      <c r="P15" s="10">
        <f t="shared" ref="P15:AM15" si="4">IF(AND(P$9-$K$11&gt;=$M$11,P$9-$K$11&lt;=$N$11),$I$11*$J$11*$C$11/$E$11,0)</f>
        <v>0</v>
      </c>
      <c r="Q15" s="10">
        <f t="shared" si="4"/>
        <v>2000</v>
      </c>
      <c r="R15" s="10">
        <f t="shared" si="4"/>
        <v>2000</v>
      </c>
      <c r="S15" s="10">
        <f t="shared" si="4"/>
        <v>2000</v>
      </c>
      <c r="T15" s="10">
        <f t="shared" si="4"/>
        <v>2000</v>
      </c>
      <c r="U15" s="10">
        <f t="shared" si="4"/>
        <v>2000</v>
      </c>
      <c r="V15" s="10">
        <f t="shared" si="4"/>
        <v>2000</v>
      </c>
      <c r="W15" s="10">
        <f t="shared" si="4"/>
        <v>2000</v>
      </c>
      <c r="X15" s="10">
        <f t="shared" si="4"/>
        <v>2000</v>
      </c>
      <c r="Y15" s="10">
        <f t="shared" si="4"/>
        <v>2000</v>
      </c>
      <c r="Z15" s="10">
        <f t="shared" si="4"/>
        <v>2000</v>
      </c>
      <c r="AA15" s="10">
        <f t="shared" si="4"/>
        <v>2000</v>
      </c>
      <c r="AB15" s="10">
        <f t="shared" si="4"/>
        <v>2000</v>
      </c>
      <c r="AC15" s="10">
        <f t="shared" si="4"/>
        <v>0</v>
      </c>
      <c r="AD15" s="10">
        <f t="shared" si="4"/>
        <v>0</v>
      </c>
      <c r="AE15" s="10">
        <f t="shared" si="4"/>
        <v>0</v>
      </c>
      <c r="AF15" s="10">
        <f t="shared" si="4"/>
        <v>0</v>
      </c>
      <c r="AG15" s="10">
        <f t="shared" si="4"/>
        <v>0</v>
      </c>
      <c r="AH15" s="10">
        <f t="shared" si="4"/>
        <v>0</v>
      </c>
      <c r="AI15" s="10">
        <f t="shared" si="4"/>
        <v>0</v>
      </c>
      <c r="AJ15" s="10">
        <f t="shared" si="4"/>
        <v>0</v>
      </c>
      <c r="AK15" s="10">
        <f t="shared" si="4"/>
        <v>0</v>
      </c>
      <c r="AL15" s="10">
        <f t="shared" si="4"/>
        <v>0</v>
      </c>
      <c r="AM15" s="10">
        <f t="shared" si="4"/>
        <v>0</v>
      </c>
    </row>
    <row r="17" spans="1:39" x14ac:dyDescent="0.3">
      <c r="A17" s="21" t="s">
        <v>28</v>
      </c>
      <c r="B17" s="22" t="s">
        <v>54</v>
      </c>
      <c r="C17" s="4">
        <v>1</v>
      </c>
      <c r="D17" s="3">
        <v>36000</v>
      </c>
      <c r="E17" s="5">
        <v>9</v>
      </c>
      <c r="F17" s="23">
        <v>46082</v>
      </c>
      <c r="G17" s="22" t="s">
        <v>61</v>
      </c>
      <c r="H17" s="22" t="s">
        <v>56</v>
      </c>
      <c r="I17" s="3">
        <v>3500</v>
      </c>
      <c r="J17" s="5">
        <v>4</v>
      </c>
      <c r="K17" s="5">
        <v>2</v>
      </c>
      <c r="L17" s="24">
        <f>YEAR(F17)*12+MONTH(F17)</f>
        <v>24315</v>
      </c>
      <c r="M17" s="24">
        <f>L17+IF(G17="Month After Signing",1,0)</f>
        <v>24316</v>
      </c>
      <c r="N17" s="24">
        <f>M17+E17-1</f>
        <v>24324</v>
      </c>
    </row>
    <row r="18" spans="1:39" x14ac:dyDescent="0.3">
      <c r="A18" s="25" t="s">
        <v>57</v>
      </c>
      <c r="P18" s="10">
        <f t="shared" ref="P18:AM18" si="5">IF(AND(P$9&gt;=$M$17,P$9&lt;=$N$17),$D$17/$E$17*$C$17,0)</f>
        <v>0</v>
      </c>
      <c r="Q18" s="10">
        <f t="shared" si="5"/>
        <v>0</v>
      </c>
      <c r="R18" s="10">
        <f t="shared" si="5"/>
        <v>0</v>
      </c>
      <c r="S18" s="10">
        <f t="shared" si="5"/>
        <v>4000</v>
      </c>
      <c r="T18" s="10">
        <f t="shared" si="5"/>
        <v>4000</v>
      </c>
      <c r="U18" s="10">
        <f t="shared" si="5"/>
        <v>4000</v>
      </c>
      <c r="V18" s="10">
        <f t="shared" si="5"/>
        <v>4000</v>
      </c>
      <c r="W18" s="10">
        <f t="shared" si="5"/>
        <v>4000</v>
      </c>
      <c r="X18" s="10">
        <f t="shared" si="5"/>
        <v>4000</v>
      </c>
      <c r="Y18" s="10">
        <f t="shared" si="5"/>
        <v>4000</v>
      </c>
      <c r="Z18" s="10">
        <f t="shared" si="5"/>
        <v>4000</v>
      </c>
      <c r="AA18" s="10">
        <f t="shared" si="5"/>
        <v>4000</v>
      </c>
      <c r="AB18" s="10">
        <f t="shared" si="5"/>
        <v>0</v>
      </c>
      <c r="AC18" s="10">
        <f t="shared" si="5"/>
        <v>0</v>
      </c>
      <c r="AD18" s="10">
        <f t="shared" si="5"/>
        <v>0</v>
      </c>
      <c r="AE18" s="10">
        <f t="shared" si="5"/>
        <v>0</v>
      </c>
      <c r="AF18" s="10">
        <f t="shared" si="5"/>
        <v>0</v>
      </c>
      <c r="AG18" s="10">
        <f t="shared" si="5"/>
        <v>0</v>
      </c>
      <c r="AH18" s="10">
        <f t="shared" si="5"/>
        <v>0</v>
      </c>
      <c r="AI18" s="10">
        <f t="shared" si="5"/>
        <v>0</v>
      </c>
      <c r="AJ18" s="10">
        <f t="shared" si="5"/>
        <v>0</v>
      </c>
      <c r="AK18" s="10">
        <f t="shared" si="5"/>
        <v>0</v>
      </c>
      <c r="AL18" s="10">
        <f t="shared" si="5"/>
        <v>0</v>
      </c>
      <c r="AM18" s="10">
        <f t="shared" si="5"/>
        <v>0</v>
      </c>
    </row>
    <row r="19" spans="1:39" x14ac:dyDescent="0.3">
      <c r="A19" s="25" t="s">
        <v>58</v>
      </c>
      <c r="P19" s="10">
        <f t="shared" ref="P19:AM19" si="6">IF($H$17="Lump Sum at Signing",IF(P$9=$L$17,$D$17*$C$17,0),IF(AND(P$9&gt;=$M$17,P$9&lt;=$N$17),$D$17/$E$17*$C$17,0))</f>
        <v>0</v>
      </c>
      <c r="Q19" s="10">
        <f t="shared" si="6"/>
        <v>0</v>
      </c>
      <c r="R19" s="10">
        <f t="shared" si="6"/>
        <v>0</v>
      </c>
      <c r="S19" s="10">
        <f t="shared" si="6"/>
        <v>4000</v>
      </c>
      <c r="T19" s="10">
        <f t="shared" si="6"/>
        <v>4000</v>
      </c>
      <c r="U19" s="10">
        <f t="shared" si="6"/>
        <v>4000</v>
      </c>
      <c r="V19" s="10">
        <f t="shared" si="6"/>
        <v>4000</v>
      </c>
      <c r="W19" s="10">
        <f t="shared" si="6"/>
        <v>4000</v>
      </c>
      <c r="X19" s="10">
        <f t="shared" si="6"/>
        <v>4000</v>
      </c>
      <c r="Y19" s="10">
        <f t="shared" si="6"/>
        <v>4000</v>
      </c>
      <c r="Z19" s="10">
        <f t="shared" si="6"/>
        <v>4000</v>
      </c>
      <c r="AA19" s="10">
        <f t="shared" si="6"/>
        <v>4000</v>
      </c>
      <c r="AB19" s="10">
        <f t="shared" si="6"/>
        <v>0</v>
      </c>
      <c r="AC19" s="10">
        <f t="shared" si="6"/>
        <v>0</v>
      </c>
      <c r="AD19" s="10">
        <f t="shared" si="6"/>
        <v>0</v>
      </c>
      <c r="AE19" s="10">
        <f t="shared" si="6"/>
        <v>0</v>
      </c>
      <c r="AF19" s="10">
        <f t="shared" si="6"/>
        <v>0</v>
      </c>
      <c r="AG19" s="10">
        <f t="shared" si="6"/>
        <v>0</v>
      </c>
      <c r="AH19" s="10">
        <f t="shared" si="6"/>
        <v>0</v>
      </c>
      <c r="AI19" s="10">
        <f t="shared" si="6"/>
        <v>0</v>
      </c>
      <c r="AJ19" s="10">
        <f t="shared" si="6"/>
        <v>0</v>
      </c>
      <c r="AK19" s="10">
        <f t="shared" si="6"/>
        <v>0</v>
      </c>
      <c r="AL19" s="10">
        <f t="shared" si="6"/>
        <v>0</v>
      </c>
      <c r="AM19" s="10">
        <f t="shared" si="6"/>
        <v>0</v>
      </c>
    </row>
    <row r="20" spans="1:39" x14ac:dyDescent="0.3">
      <c r="A20" s="25" t="s">
        <v>59</v>
      </c>
      <c r="P20" s="10">
        <f t="shared" ref="P20:AM20" si="7">IF(AND(P$9&gt;=$M$17,P$9&lt;=$N$17),$I$17*$J$17*$C$17/$E$17,0)</f>
        <v>0</v>
      </c>
      <c r="Q20" s="10">
        <f t="shared" si="7"/>
        <v>0</v>
      </c>
      <c r="R20" s="10">
        <f t="shared" si="7"/>
        <v>0</v>
      </c>
      <c r="S20" s="10">
        <f t="shared" si="7"/>
        <v>1555.5555555555557</v>
      </c>
      <c r="T20" s="10">
        <f t="shared" si="7"/>
        <v>1555.5555555555557</v>
      </c>
      <c r="U20" s="10">
        <f t="shared" si="7"/>
        <v>1555.5555555555557</v>
      </c>
      <c r="V20" s="10">
        <f t="shared" si="7"/>
        <v>1555.5555555555557</v>
      </c>
      <c r="W20" s="10">
        <f t="shared" si="7"/>
        <v>1555.5555555555557</v>
      </c>
      <c r="X20" s="10">
        <f t="shared" si="7"/>
        <v>1555.5555555555557</v>
      </c>
      <c r="Y20" s="10">
        <f t="shared" si="7"/>
        <v>1555.5555555555557</v>
      </c>
      <c r="Z20" s="10">
        <f t="shared" si="7"/>
        <v>1555.5555555555557</v>
      </c>
      <c r="AA20" s="10">
        <f t="shared" si="7"/>
        <v>1555.5555555555557</v>
      </c>
      <c r="AB20" s="10">
        <f t="shared" si="7"/>
        <v>0</v>
      </c>
      <c r="AC20" s="10">
        <f t="shared" si="7"/>
        <v>0</v>
      </c>
      <c r="AD20" s="10">
        <f t="shared" si="7"/>
        <v>0</v>
      </c>
      <c r="AE20" s="10">
        <f t="shared" si="7"/>
        <v>0</v>
      </c>
      <c r="AF20" s="10">
        <f t="shared" si="7"/>
        <v>0</v>
      </c>
      <c r="AG20" s="10">
        <f t="shared" si="7"/>
        <v>0</v>
      </c>
      <c r="AH20" s="10">
        <f t="shared" si="7"/>
        <v>0</v>
      </c>
      <c r="AI20" s="10">
        <f t="shared" si="7"/>
        <v>0</v>
      </c>
      <c r="AJ20" s="10">
        <f t="shared" si="7"/>
        <v>0</v>
      </c>
      <c r="AK20" s="10">
        <f t="shared" si="7"/>
        <v>0</v>
      </c>
      <c r="AL20" s="10">
        <f t="shared" si="7"/>
        <v>0</v>
      </c>
      <c r="AM20" s="10">
        <f t="shared" si="7"/>
        <v>0</v>
      </c>
    </row>
    <row r="21" spans="1:39" x14ac:dyDescent="0.3">
      <c r="A21" s="25" t="s">
        <v>60</v>
      </c>
      <c r="P21" s="10">
        <f t="shared" ref="P21:AM21" si="8">IF(AND(P$9-$K$17&gt;=$M$17,P$9-$K$17&lt;=$N$17),$I$17*$J$17*$C$17/$E$17,0)</f>
        <v>0</v>
      </c>
      <c r="Q21" s="10">
        <f t="shared" si="8"/>
        <v>0</v>
      </c>
      <c r="R21" s="10">
        <f t="shared" si="8"/>
        <v>0</v>
      </c>
      <c r="S21" s="10">
        <f t="shared" si="8"/>
        <v>0</v>
      </c>
      <c r="T21" s="10">
        <f t="shared" si="8"/>
        <v>0</v>
      </c>
      <c r="U21" s="10">
        <f t="shared" si="8"/>
        <v>1555.5555555555557</v>
      </c>
      <c r="V21" s="10">
        <f t="shared" si="8"/>
        <v>1555.5555555555557</v>
      </c>
      <c r="W21" s="10">
        <f t="shared" si="8"/>
        <v>1555.5555555555557</v>
      </c>
      <c r="X21" s="10">
        <f t="shared" si="8"/>
        <v>1555.5555555555557</v>
      </c>
      <c r="Y21" s="10">
        <f t="shared" si="8"/>
        <v>1555.5555555555557</v>
      </c>
      <c r="Z21" s="10">
        <f t="shared" si="8"/>
        <v>1555.5555555555557</v>
      </c>
      <c r="AA21" s="10">
        <f t="shared" si="8"/>
        <v>1555.5555555555557</v>
      </c>
      <c r="AB21" s="10">
        <f t="shared" si="8"/>
        <v>1555.5555555555557</v>
      </c>
      <c r="AC21" s="10">
        <f t="shared" si="8"/>
        <v>1555.5555555555557</v>
      </c>
      <c r="AD21" s="10">
        <f t="shared" si="8"/>
        <v>0</v>
      </c>
      <c r="AE21" s="10">
        <f t="shared" si="8"/>
        <v>0</v>
      </c>
      <c r="AF21" s="10">
        <f t="shared" si="8"/>
        <v>0</v>
      </c>
      <c r="AG21" s="10">
        <f t="shared" si="8"/>
        <v>0</v>
      </c>
      <c r="AH21" s="10">
        <f t="shared" si="8"/>
        <v>0</v>
      </c>
      <c r="AI21" s="10">
        <f t="shared" si="8"/>
        <v>0</v>
      </c>
      <c r="AJ21" s="10">
        <f t="shared" si="8"/>
        <v>0</v>
      </c>
      <c r="AK21" s="10">
        <f t="shared" si="8"/>
        <v>0</v>
      </c>
      <c r="AL21" s="10">
        <f t="shared" si="8"/>
        <v>0</v>
      </c>
      <c r="AM21" s="10">
        <f t="shared" si="8"/>
        <v>0</v>
      </c>
    </row>
    <row r="23" spans="1:39" x14ac:dyDescent="0.3">
      <c r="A23" s="21" t="s">
        <v>29</v>
      </c>
      <c r="B23" s="22" t="s">
        <v>54</v>
      </c>
      <c r="C23" s="4">
        <v>1</v>
      </c>
      <c r="D23" s="3">
        <v>48000</v>
      </c>
      <c r="E23" s="5">
        <v>6</v>
      </c>
      <c r="F23" s="23">
        <v>46054</v>
      </c>
      <c r="G23" s="22" t="s">
        <v>55</v>
      </c>
      <c r="H23" s="22" t="s">
        <v>62</v>
      </c>
      <c r="I23" s="3">
        <v>0</v>
      </c>
      <c r="J23" s="5">
        <v>0</v>
      </c>
      <c r="K23" s="5">
        <v>0</v>
      </c>
      <c r="L23" s="24">
        <f>YEAR(F23)*12+MONTH(F23)</f>
        <v>24314</v>
      </c>
      <c r="M23" s="24">
        <f>L23+IF(G23="Month After Signing",1,0)</f>
        <v>24314</v>
      </c>
      <c r="N23" s="24">
        <f>M23+E23-1</f>
        <v>24319</v>
      </c>
    </row>
    <row r="24" spans="1:39" x14ac:dyDescent="0.3">
      <c r="A24" s="25" t="s">
        <v>57</v>
      </c>
      <c r="P24" s="10">
        <f t="shared" ref="P24:AM24" si="9">IF(AND(P$9&gt;=$M$23,P$9&lt;=$N$23),$D$23/$E$23*$C$23,0)</f>
        <v>0</v>
      </c>
      <c r="Q24" s="10">
        <f t="shared" si="9"/>
        <v>8000</v>
      </c>
      <c r="R24" s="10">
        <f t="shared" si="9"/>
        <v>8000</v>
      </c>
      <c r="S24" s="10">
        <f t="shared" si="9"/>
        <v>8000</v>
      </c>
      <c r="T24" s="10">
        <f t="shared" si="9"/>
        <v>8000</v>
      </c>
      <c r="U24" s="10">
        <f t="shared" si="9"/>
        <v>8000</v>
      </c>
      <c r="V24" s="10">
        <f t="shared" si="9"/>
        <v>8000</v>
      </c>
      <c r="W24" s="10">
        <f t="shared" si="9"/>
        <v>0</v>
      </c>
      <c r="X24" s="10">
        <f t="shared" si="9"/>
        <v>0</v>
      </c>
      <c r="Y24" s="10">
        <f t="shared" si="9"/>
        <v>0</v>
      </c>
      <c r="Z24" s="10">
        <f t="shared" si="9"/>
        <v>0</v>
      </c>
      <c r="AA24" s="10">
        <f t="shared" si="9"/>
        <v>0</v>
      </c>
      <c r="AB24" s="10">
        <f t="shared" si="9"/>
        <v>0</v>
      </c>
      <c r="AC24" s="10">
        <f t="shared" si="9"/>
        <v>0</v>
      </c>
      <c r="AD24" s="10">
        <f t="shared" si="9"/>
        <v>0</v>
      </c>
      <c r="AE24" s="10">
        <f t="shared" si="9"/>
        <v>0</v>
      </c>
      <c r="AF24" s="10">
        <f t="shared" si="9"/>
        <v>0</v>
      </c>
      <c r="AG24" s="10">
        <f t="shared" si="9"/>
        <v>0</v>
      </c>
      <c r="AH24" s="10">
        <f t="shared" si="9"/>
        <v>0</v>
      </c>
      <c r="AI24" s="10">
        <f t="shared" si="9"/>
        <v>0</v>
      </c>
      <c r="AJ24" s="10">
        <f t="shared" si="9"/>
        <v>0</v>
      </c>
      <c r="AK24" s="10">
        <f t="shared" si="9"/>
        <v>0</v>
      </c>
      <c r="AL24" s="10">
        <f t="shared" si="9"/>
        <v>0</v>
      </c>
      <c r="AM24" s="10">
        <f t="shared" si="9"/>
        <v>0</v>
      </c>
    </row>
    <row r="25" spans="1:39" x14ac:dyDescent="0.3">
      <c r="A25" s="25" t="s">
        <v>58</v>
      </c>
      <c r="P25" s="10">
        <f t="shared" ref="P25:AM25" si="10">IF($H$23="Lump Sum at Signing",IF(P$9=$L$23,$D$23*$C$23,0),IF(AND(P$9&gt;=$M$23,P$9&lt;=$N$23),$D$23/$E$23*$C$23,0))</f>
        <v>0</v>
      </c>
      <c r="Q25" s="10">
        <f t="shared" si="10"/>
        <v>48000</v>
      </c>
      <c r="R25" s="10">
        <f t="shared" si="10"/>
        <v>0</v>
      </c>
      <c r="S25" s="10">
        <f t="shared" si="10"/>
        <v>0</v>
      </c>
      <c r="T25" s="10">
        <f t="shared" si="10"/>
        <v>0</v>
      </c>
      <c r="U25" s="10">
        <f t="shared" si="10"/>
        <v>0</v>
      </c>
      <c r="V25" s="10">
        <f t="shared" si="10"/>
        <v>0</v>
      </c>
      <c r="W25" s="10">
        <f t="shared" si="10"/>
        <v>0</v>
      </c>
      <c r="X25" s="10">
        <f t="shared" si="10"/>
        <v>0</v>
      </c>
      <c r="Y25" s="10">
        <f t="shared" si="10"/>
        <v>0</v>
      </c>
      <c r="Z25" s="10">
        <f t="shared" si="10"/>
        <v>0</v>
      </c>
      <c r="AA25" s="10">
        <f t="shared" si="10"/>
        <v>0</v>
      </c>
      <c r="AB25" s="10">
        <f t="shared" si="10"/>
        <v>0</v>
      </c>
      <c r="AC25" s="10">
        <f t="shared" si="10"/>
        <v>0</v>
      </c>
      <c r="AD25" s="10">
        <f t="shared" si="10"/>
        <v>0</v>
      </c>
      <c r="AE25" s="10">
        <f t="shared" si="10"/>
        <v>0</v>
      </c>
      <c r="AF25" s="10">
        <f t="shared" si="10"/>
        <v>0</v>
      </c>
      <c r="AG25" s="10">
        <f t="shared" si="10"/>
        <v>0</v>
      </c>
      <c r="AH25" s="10">
        <f t="shared" si="10"/>
        <v>0</v>
      </c>
      <c r="AI25" s="10">
        <f t="shared" si="10"/>
        <v>0</v>
      </c>
      <c r="AJ25" s="10">
        <f t="shared" si="10"/>
        <v>0</v>
      </c>
      <c r="AK25" s="10">
        <f t="shared" si="10"/>
        <v>0</v>
      </c>
      <c r="AL25" s="10">
        <f t="shared" si="10"/>
        <v>0</v>
      </c>
      <c r="AM25" s="10">
        <f t="shared" si="10"/>
        <v>0</v>
      </c>
    </row>
    <row r="26" spans="1:39" x14ac:dyDescent="0.3">
      <c r="A26" s="25" t="s">
        <v>59</v>
      </c>
      <c r="P26" s="10">
        <f t="shared" ref="P26:AM26" si="11">IF(AND(P$9&gt;=$M$23,P$9&lt;=$N$23),$I$23*$J$23*$C$23/$E$23,0)</f>
        <v>0</v>
      </c>
      <c r="Q26" s="10">
        <f t="shared" si="11"/>
        <v>0</v>
      </c>
      <c r="R26" s="10">
        <f t="shared" si="11"/>
        <v>0</v>
      </c>
      <c r="S26" s="10">
        <f t="shared" si="11"/>
        <v>0</v>
      </c>
      <c r="T26" s="10">
        <f t="shared" si="11"/>
        <v>0</v>
      </c>
      <c r="U26" s="10">
        <f t="shared" si="11"/>
        <v>0</v>
      </c>
      <c r="V26" s="10">
        <f t="shared" si="11"/>
        <v>0</v>
      </c>
      <c r="W26" s="10">
        <f t="shared" si="11"/>
        <v>0</v>
      </c>
      <c r="X26" s="10">
        <f t="shared" si="11"/>
        <v>0</v>
      </c>
      <c r="Y26" s="10">
        <f t="shared" si="11"/>
        <v>0</v>
      </c>
      <c r="Z26" s="10">
        <f t="shared" si="11"/>
        <v>0</v>
      </c>
      <c r="AA26" s="10">
        <f t="shared" si="11"/>
        <v>0</v>
      </c>
      <c r="AB26" s="10">
        <f t="shared" si="11"/>
        <v>0</v>
      </c>
      <c r="AC26" s="10">
        <f t="shared" si="11"/>
        <v>0</v>
      </c>
      <c r="AD26" s="10">
        <f t="shared" si="11"/>
        <v>0</v>
      </c>
      <c r="AE26" s="10">
        <f t="shared" si="11"/>
        <v>0</v>
      </c>
      <c r="AF26" s="10">
        <f t="shared" si="11"/>
        <v>0</v>
      </c>
      <c r="AG26" s="10">
        <f t="shared" si="11"/>
        <v>0</v>
      </c>
      <c r="AH26" s="10">
        <f t="shared" si="11"/>
        <v>0</v>
      </c>
      <c r="AI26" s="10">
        <f t="shared" si="11"/>
        <v>0</v>
      </c>
      <c r="AJ26" s="10">
        <f t="shared" si="11"/>
        <v>0</v>
      </c>
      <c r="AK26" s="10">
        <f t="shared" si="11"/>
        <v>0</v>
      </c>
      <c r="AL26" s="10">
        <f t="shared" si="11"/>
        <v>0</v>
      </c>
      <c r="AM26" s="10">
        <f t="shared" si="11"/>
        <v>0</v>
      </c>
    </row>
    <row r="27" spans="1:39" x14ac:dyDescent="0.3">
      <c r="A27" s="25" t="s">
        <v>60</v>
      </c>
      <c r="P27" s="10">
        <f t="shared" ref="P27:AM27" si="12">IF(AND(P$9-$K$23&gt;=$M$23,P$9-$K$23&lt;=$N$23),$I$23*$J$23*$C$23/$E$23,0)</f>
        <v>0</v>
      </c>
      <c r="Q27" s="10">
        <f t="shared" si="12"/>
        <v>0</v>
      </c>
      <c r="R27" s="10">
        <f t="shared" si="12"/>
        <v>0</v>
      </c>
      <c r="S27" s="10">
        <f t="shared" si="12"/>
        <v>0</v>
      </c>
      <c r="T27" s="10">
        <f t="shared" si="12"/>
        <v>0</v>
      </c>
      <c r="U27" s="10">
        <f t="shared" si="12"/>
        <v>0</v>
      </c>
      <c r="V27" s="10">
        <f t="shared" si="12"/>
        <v>0</v>
      </c>
      <c r="W27" s="10">
        <f t="shared" si="12"/>
        <v>0</v>
      </c>
      <c r="X27" s="10">
        <f t="shared" si="12"/>
        <v>0</v>
      </c>
      <c r="Y27" s="10">
        <f t="shared" si="12"/>
        <v>0</v>
      </c>
      <c r="Z27" s="10">
        <f t="shared" si="12"/>
        <v>0</v>
      </c>
      <c r="AA27" s="10">
        <f t="shared" si="12"/>
        <v>0</v>
      </c>
      <c r="AB27" s="10">
        <f t="shared" si="12"/>
        <v>0</v>
      </c>
      <c r="AC27" s="10">
        <f t="shared" si="12"/>
        <v>0</v>
      </c>
      <c r="AD27" s="10">
        <f t="shared" si="12"/>
        <v>0</v>
      </c>
      <c r="AE27" s="10">
        <f t="shared" si="12"/>
        <v>0</v>
      </c>
      <c r="AF27" s="10">
        <f t="shared" si="12"/>
        <v>0</v>
      </c>
      <c r="AG27" s="10">
        <f t="shared" si="12"/>
        <v>0</v>
      </c>
      <c r="AH27" s="10">
        <f t="shared" si="12"/>
        <v>0</v>
      </c>
      <c r="AI27" s="10">
        <f t="shared" si="12"/>
        <v>0</v>
      </c>
      <c r="AJ27" s="10">
        <f t="shared" si="12"/>
        <v>0</v>
      </c>
      <c r="AK27" s="10">
        <f t="shared" si="12"/>
        <v>0</v>
      </c>
      <c r="AL27" s="10">
        <f t="shared" si="12"/>
        <v>0</v>
      </c>
      <c r="AM27" s="10">
        <f t="shared" si="12"/>
        <v>0</v>
      </c>
    </row>
    <row r="29" spans="1:39" x14ac:dyDescent="0.3">
      <c r="A29" s="21" t="s">
        <v>63</v>
      </c>
      <c r="B29" s="22" t="s">
        <v>64</v>
      </c>
      <c r="C29" s="4">
        <v>0.6</v>
      </c>
      <c r="D29" s="3">
        <v>30000</v>
      </c>
      <c r="E29" s="5">
        <v>9</v>
      </c>
      <c r="F29" s="23">
        <v>46174</v>
      </c>
      <c r="G29" s="22" t="s">
        <v>61</v>
      </c>
      <c r="H29" s="22" t="s">
        <v>56</v>
      </c>
      <c r="I29" s="3">
        <v>4000</v>
      </c>
      <c r="J29" s="5">
        <v>5</v>
      </c>
      <c r="K29" s="5">
        <v>1</v>
      </c>
      <c r="L29" s="24">
        <f>YEAR(F29)*12+MONTH(F29)</f>
        <v>24318</v>
      </c>
      <c r="M29" s="24">
        <f>L29+IF(G29="Month After Signing",1,0)</f>
        <v>24319</v>
      </c>
      <c r="N29" s="24">
        <f>M29+E29-1</f>
        <v>24327</v>
      </c>
    </row>
    <row r="30" spans="1:39" x14ac:dyDescent="0.3">
      <c r="A30" s="25" t="s">
        <v>57</v>
      </c>
      <c r="P30" s="10">
        <f>IF(AND(P$9&gt;=$M$29,P$9&lt;=$N$29),$D$29/$E$29*$C$29,0)</f>
        <v>0</v>
      </c>
      <c r="Q30" s="10">
        <f t="shared" ref="P30:AM30" si="13">IF(AND(Q$9&gt;=$M$29,Q$9&lt;=$N$29),$D$29/$E$29*$C$29,0)</f>
        <v>0</v>
      </c>
      <c r="R30" s="10">
        <f t="shared" si="13"/>
        <v>0</v>
      </c>
      <c r="S30" s="10">
        <f t="shared" si="13"/>
        <v>0</v>
      </c>
      <c r="T30" s="10">
        <f t="shared" si="13"/>
        <v>0</v>
      </c>
      <c r="U30" s="10">
        <f t="shared" si="13"/>
        <v>0</v>
      </c>
      <c r="V30" s="10">
        <f t="shared" si="13"/>
        <v>2000</v>
      </c>
      <c r="W30" s="10">
        <f t="shared" si="13"/>
        <v>2000</v>
      </c>
      <c r="X30" s="10">
        <f t="shared" si="13"/>
        <v>2000</v>
      </c>
      <c r="Y30" s="10">
        <f t="shared" si="13"/>
        <v>2000</v>
      </c>
      <c r="Z30" s="10">
        <f t="shared" si="13"/>
        <v>2000</v>
      </c>
      <c r="AA30" s="10">
        <f t="shared" si="13"/>
        <v>2000</v>
      </c>
      <c r="AB30" s="10">
        <f t="shared" si="13"/>
        <v>2000</v>
      </c>
      <c r="AC30" s="10">
        <f t="shared" si="13"/>
        <v>2000</v>
      </c>
      <c r="AD30" s="10">
        <f t="shared" si="13"/>
        <v>2000</v>
      </c>
      <c r="AE30" s="10">
        <f t="shared" si="13"/>
        <v>0</v>
      </c>
      <c r="AF30" s="10">
        <f t="shared" si="13"/>
        <v>0</v>
      </c>
      <c r="AG30" s="10">
        <f t="shared" si="13"/>
        <v>0</v>
      </c>
      <c r="AH30" s="10">
        <f t="shared" si="13"/>
        <v>0</v>
      </c>
      <c r="AI30" s="10">
        <f t="shared" si="13"/>
        <v>0</v>
      </c>
      <c r="AJ30" s="10">
        <f t="shared" si="13"/>
        <v>0</v>
      </c>
      <c r="AK30" s="10">
        <f t="shared" si="13"/>
        <v>0</v>
      </c>
      <c r="AL30" s="10">
        <f t="shared" si="13"/>
        <v>0</v>
      </c>
      <c r="AM30" s="10">
        <f t="shared" si="13"/>
        <v>0</v>
      </c>
    </row>
    <row r="31" spans="1:39" x14ac:dyDescent="0.3">
      <c r="A31" s="25" t="s">
        <v>58</v>
      </c>
      <c r="P31" s="10">
        <f t="shared" ref="P31:AM31" si="14">IF($H$29="Lump Sum at Signing",IF(P$9=$L$29,$D$29*$C$29,0),IF(AND(P$9&gt;=$M$29,P$9&lt;=$N$29),$D$29/$E$29*$C$29,0))</f>
        <v>0</v>
      </c>
      <c r="Q31" s="10">
        <f t="shared" si="14"/>
        <v>0</v>
      </c>
      <c r="R31" s="10">
        <f t="shared" si="14"/>
        <v>0</v>
      </c>
      <c r="S31" s="10">
        <f t="shared" si="14"/>
        <v>0</v>
      </c>
      <c r="T31" s="10">
        <f t="shared" si="14"/>
        <v>0</v>
      </c>
      <c r="U31" s="10">
        <f t="shared" si="14"/>
        <v>0</v>
      </c>
      <c r="V31" s="10">
        <f t="shared" si="14"/>
        <v>2000</v>
      </c>
      <c r="W31" s="10">
        <f t="shared" si="14"/>
        <v>2000</v>
      </c>
      <c r="X31" s="10">
        <f t="shared" si="14"/>
        <v>2000</v>
      </c>
      <c r="Y31" s="10">
        <f t="shared" si="14"/>
        <v>2000</v>
      </c>
      <c r="Z31" s="10">
        <f t="shared" si="14"/>
        <v>2000</v>
      </c>
      <c r="AA31" s="10">
        <f t="shared" si="14"/>
        <v>2000</v>
      </c>
      <c r="AB31" s="10">
        <f t="shared" si="14"/>
        <v>2000</v>
      </c>
      <c r="AC31" s="10">
        <f t="shared" si="14"/>
        <v>2000</v>
      </c>
      <c r="AD31" s="10">
        <f t="shared" si="14"/>
        <v>2000</v>
      </c>
      <c r="AE31" s="10">
        <f t="shared" si="14"/>
        <v>0</v>
      </c>
      <c r="AF31" s="10">
        <f t="shared" si="14"/>
        <v>0</v>
      </c>
      <c r="AG31" s="10">
        <f t="shared" si="14"/>
        <v>0</v>
      </c>
      <c r="AH31" s="10">
        <f t="shared" si="14"/>
        <v>0</v>
      </c>
      <c r="AI31" s="10">
        <f t="shared" si="14"/>
        <v>0</v>
      </c>
      <c r="AJ31" s="10">
        <f t="shared" si="14"/>
        <v>0</v>
      </c>
      <c r="AK31" s="10">
        <f t="shared" si="14"/>
        <v>0</v>
      </c>
      <c r="AL31" s="10">
        <f t="shared" si="14"/>
        <v>0</v>
      </c>
      <c r="AM31" s="10">
        <f t="shared" si="14"/>
        <v>0</v>
      </c>
    </row>
    <row r="32" spans="1:39" x14ac:dyDescent="0.3">
      <c r="A32" s="25" t="s">
        <v>59</v>
      </c>
      <c r="P32" s="10">
        <f t="shared" ref="P32:AM32" si="15">IF(AND(P$9&gt;=$M$29,P$9&lt;=$N$29),$I$29*$J$29*$C$29/$E$29,0)</f>
        <v>0</v>
      </c>
      <c r="Q32" s="10">
        <f t="shared" si="15"/>
        <v>0</v>
      </c>
      <c r="R32" s="10">
        <f t="shared" si="15"/>
        <v>0</v>
      </c>
      <c r="S32" s="10">
        <f t="shared" si="15"/>
        <v>0</v>
      </c>
      <c r="T32" s="10">
        <f t="shared" si="15"/>
        <v>0</v>
      </c>
      <c r="U32" s="10">
        <f t="shared" si="15"/>
        <v>0</v>
      </c>
      <c r="V32" s="10">
        <f t="shared" si="15"/>
        <v>1333.3333333333333</v>
      </c>
      <c r="W32" s="10">
        <f t="shared" si="15"/>
        <v>1333.3333333333333</v>
      </c>
      <c r="X32" s="10">
        <f t="shared" si="15"/>
        <v>1333.3333333333333</v>
      </c>
      <c r="Y32" s="10">
        <f t="shared" si="15"/>
        <v>1333.3333333333333</v>
      </c>
      <c r="Z32" s="10">
        <f t="shared" si="15"/>
        <v>1333.3333333333333</v>
      </c>
      <c r="AA32" s="10">
        <f t="shared" si="15"/>
        <v>1333.3333333333333</v>
      </c>
      <c r="AB32" s="10">
        <f t="shared" si="15"/>
        <v>1333.3333333333333</v>
      </c>
      <c r="AC32" s="10">
        <f t="shared" si="15"/>
        <v>1333.3333333333333</v>
      </c>
      <c r="AD32" s="10">
        <f t="shared" si="15"/>
        <v>1333.3333333333333</v>
      </c>
      <c r="AE32" s="10">
        <f t="shared" si="15"/>
        <v>0</v>
      </c>
      <c r="AF32" s="10">
        <f t="shared" si="15"/>
        <v>0</v>
      </c>
      <c r="AG32" s="10">
        <f t="shared" si="15"/>
        <v>0</v>
      </c>
      <c r="AH32" s="10">
        <f t="shared" si="15"/>
        <v>0</v>
      </c>
      <c r="AI32" s="10">
        <f t="shared" si="15"/>
        <v>0</v>
      </c>
      <c r="AJ32" s="10">
        <f t="shared" si="15"/>
        <v>0</v>
      </c>
      <c r="AK32" s="10">
        <f t="shared" si="15"/>
        <v>0</v>
      </c>
      <c r="AL32" s="10">
        <f t="shared" si="15"/>
        <v>0</v>
      </c>
      <c r="AM32" s="10">
        <f t="shared" si="15"/>
        <v>0</v>
      </c>
    </row>
    <row r="33" spans="1:39" x14ac:dyDescent="0.3">
      <c r="A33" s="25" t="s">
        <v>60</v>
      </c>
      <c r="P33" s="10">
        <f t="shared" ref="P33:AM33" si="16">IF(AND(P$9-$K$29&gt;=$M$29,P$9-$K$29&lt;=$N$29),$I$29*$J$29*$C$29/$E$29,0)</f>
        <v>0</v>
      </c>
      <c r="Q33" s="10">
        <f t="shared" si="16"/>
        <v>0</v>
      </c>
      <c r="R33" s="10">
        <f t="shared" si="16"/>
        <v>0</v>
      </c>
      <c r="S33" s="10">
        <f t="shared" si="16"/>
        <v>0</v>
      </c>
      <c r="T33" s="10">
        <f t="shared" si="16"/>
        <v>0</v>
      </c>
      <c r="U33" s="10">
        <f t="shared" si="16"/>
        <v>0</v>
      </c>
      <c r="V33" s="10">
        <f t="shared" si="16"/>
        <v>0</v>
      </c>
      <c r="W33" s="10">
        <f t="shared" si="16"/>
        <v>1333.3333333333333</v>
      </c>
      <c r="X33" s="10">
        <f t="shared" si="16"/>
        <v>1333.3333333333333</v>
      </c>
      <c r="Y33" s="10">
        <f t="shared" si="16"/>
        <v>1333.3333333333333</v>
      </c>
      <c r="Z33" s="10">
        <f t="shared" si="16"/>
        <v>1333.3333333333333</v>
      </c>
      <c r="AA33" s="10">
        <f t="shared" si="16"/>
        <v>1333.3333333333333</v>
      </c>
      <c r="AB33" s="10">
        <f t="shared" si="16"/>
        <v>1333.3333333333333</v>
      </c>
      <c r="AC33" s="10">
        <f t="shared" si="16"/>
        <v>1333.3333333333333</v>
      </c>
      <c r="AD33" s="10">
        <f t="shared" si="16"/>
        <v>1333.3333333333333</v>
      </c>
      <c r="AE33" s="10">
        <f t="shared" si="16"/>
        <v>1333.3333333333333</v>
      </c>
      <c r="AF33" s="10">
        <f t="shared" si="16"/>
        <v>0</v>
      </c>
      <c r="AG33" s="10">
        <f t="shared" si="16"/>
        <v>0</v>
      </c>
      <c r="AH33" s="10">
        <f t="shared" si="16"/>
        <v>0</v>
      </c>
      <c r="AI33" s="10">
        <f t="shared" si="16"/>
        <v>0</v>
      </c>
      <c r="AJ33" s="10">
        <f t="shared" si="16"/>
        <v>0</v>
      </c>
      <c r="AK33" s="10">
        <f t="shared" si="16"/>
        <v>0</v>
      </c>
      <c r="AL33" s="10">
        <f t="shared" si="16"/>
        <v>0</v>
      </c>
      <c r="AM33" s="10">
        <f t="shared" si="16"/>
        <v>0</v>
      </c>
    </row>
    <row r="35" spans="1:39" x14ac:dyDescent="0.3">
      <c r="A35" s="21" t="s">
        <v>65</v>
      </c>
      <c r="B35" s="22" t="s">
        <v>64</v>
      </c>
      <c r="C35" s="4">
        <v>0.4</v>
      </c>
      <c r="D35" s="3">
        <v>18000</v>
      </c>
      <c r="E35" s="5">
        <v>6</v>
      </c>
      <c r="F35" s="23">
        <v>46204</v>
      </c>
      <c r="G35" s="22" t="s">
        <v>61</v>
      </c>
      <c r="H35" s="22" t="s">
        <v>56</v>
      </c>
      <c r="I35" s="3">
        <v>3000</v>
      </c>
      <c r="J35" s="5">
        <v>3</v>
      </c>
      <c r="K35" s="5">
        <v>2</v>
      </c>
      <c r="L35" s="24">
        <f>YEAR(F35)*12+MONTH(F35)</f>
        <v>24319</v>
      </c>
      <c r="M35" s="24">
        <f>L35+IF(G35="Month After Signing",1,0)</f>
        <v>24320</v>
      </c>
      <c r="N35" s="24">
        <f>M35+E35-1</f>
        <v>24325</v>
      </c>
    </row>
    <row r="36" spans="1:39" x14ac:dyDescent="0.3">
      <c r="A36" s="25" t="s">
        <v>57</v>
      </c>
      <c r="P36" s="10">
        <f t="shared" ref="P36:AM36" si="17">IF(AND(P$9&gt;=$M$35,P$9&lt;=$N$35),$D$35/$E$35*$C$35,0)</f>
        <v>0</v>
      </c>
      <c r="Q36" s="10">
        <f t="shared" si="17"/>
        <v>0</v>
      </c>
      <c r="R36" s="10">
        <f t="shared" si="17"/>
        <v>0</v>
      </c>
      <c r="S36" s="10">
        <f t="shared" si="17"/>
        <v>0</v>
      </c>
      <c r="T36" s="10">
        <f t="shared" si="17"/>
        <v>0</v>
      </c>
      <c r="U36" s="10">
        <f t="shared" si="17"/>
        <v>0</v>
      </c>
      <c r="V36" s="10">
        <f t="shared" si="17"/>
        <v>0</v>
      </c>
      <c r="W36" s="10">
        <f t="shared" si="17"/>
        <v>1200</v>
      </c>
      <c r="X36" s="10">
        <f t="shared" si="17"/>
        <v>1200</v>
      </c>
      <c r="Y36" s="10">
        <f t="shared" si="17"/>
        <v>1200</v>
      </c>
      <c r="Z36" s="10">
        <f t="shared" si="17"/>
        <v>1200</v>
      </c>
      <c r="AA36" s="10">
        <f t="shared" si="17"/>
        <v>1200</v>
      </c>
      <c r="AB36" s="10">
        <f t="shared" si="17"/>
        <v>1200</v>
      </c>
      <c r="AC36" s="10">
        <f t="shared" si="17"/>
        <v>0</v>
      </c>
      <c r="AD36" s="10">
        <f t="shared" si="17"/>
        <v>0</v>
      </c>
      <c r="AE36" s="10">
        <f t="shared" si="17"/>
        <v>0</v>
      </c>
      <c r="AF36" s="10">
        <f t="shared" si="17"/>
        <v>0</v>
      </c>
      <c r="AG36" s="10">
        <f t="shared" si="17"/>
        <v>0</v>
      </c>
      <c r="AH36" s="10">
        <f t="shared" si="17"/>
        <v>0</v>
      </c>
      <c r="AI36" s="10">
        <f t="shared" si="17"/>
        <v>0</v>
      </c>
      <c r="AJ36" s="10">
        <f t="shared" si="17"/>
        <v>0</v>
      </c>
      <c r="AK36" s="10">
        <f t="shared" si="17"/>
        <v>0</v>
      </c>
      <c r="AL36" s="10">
        <f t="shared" si="17"/>
        <v>0</v>
      </c>
      <c r="AM36" s="10">
        <f t="shared" si="17"/>
        <v>0</v>
      </c>
    </row>
    <row r="37" spans="1:39" x14ac:dyDescent="0.3">
      <c r="A37" s="25" t="s">
        <v>58</v>
      </c>
      <c r="P37" s="10">
        <f t="shared" ref="P37:AM37" si="18">IF($H$35="Lump Sum at Signing",IF(P$9=$L$35,$D$35*$C$35,0),IF(AND(P$9&gt;=$M$35,P$9&lt;=$N$35),$D$35/$E$35*$C$35,0))</f>
        <v>0</v>
      </c>
      <c r="Q37" s="10">
        <f t="shared" si="18"/>
        <v>0</v>
      </c>
      <c r="R37" s="10">
        <f t="shared" si="18"/>
        <v>0</v>
      </c>
      <c r="S37" s="10">
        <f t="shared" si="18"/>
        <v>0</v>
      </c>
      <c r="T37" s="10">
        <f t="shared" si="18"/>
        <v>0</v>
      </c>
      <c r="U37" s="10">
        <f t="shared" si="18"/>
        <v>0</v>
      </c>
      <c r="V37" s="10">
        <f t="shared" si="18"/>
        <v>0</v>
      </c>
      <c r="W37" s="10">
        <f t="shared" si="18"/>
        <v>1200</v>
      </c>
      <c r="X37" s="10">
        <f t="shared" si="18"/>
        <v>1200</v>
      </c>
      <c r="Y37" s="10">
        <f t="shared" si="18"/>
        <v>1200</v>
      </c>
      <c r="Z37" s="10">
        <f t="shared" si="18"/>
        <v>1200</v>
      </c>
      <c r="AA37" s="10">
        <f t="shared" si="18"/>
        <v>1200</v>
      </c>
      <c r="AB37" s="10">
        <f t="shared" si="18"/>
        <v>1200</v>
      </c>
      <c r="AC37" s="10">
        <f t="shared" si="18"/>
        <v>0</v>
      </c>
      <c r="AD37" s="10">
        <f t="shared" si="18"/>
        <v>0</v>
      </c>
      <c r="AE37" s="10">
        <f t="shared" si="18"/>
        <v>0</v>
      </c>
      <c r="AF37" s="10">
        <f t="shared" si="18"/>
        <v>0</v>
      </c>
      <c r="AG37" s="10">
        <f t="shared" si="18"/>
        <v>0</v>
      </c>
      <c r="AH37" s="10">
        <f t="shared" si="18"/>
        <v>0</v>
      </c>
      <c r="AI37" s="10">
        <f t="shared" si="18"/>
        <v>0</v>
      </c>
      <c r="AJ37" s="10">
        <f t="shared" si="18"/>
        <v>0</v>
      </c>
      <c r="AK37" s="10">
        <f t="shared" si="18"/>
        <v>0</v>
      </c>
      <c r="AL37" s="10">
        <f t="shared" si="18"/>
        <v>0</v>
      </c>
      <c r="AM37" s="10">
        <f t="shared" si="18"/>
        <v>0</v>
      </c>
    </row>
    <row r="38" spans="1:39" x14ac:dyDescent="0.3">
      <c r="A38" s="25" t="s">
        <v>59</v>
      </c>
      <c r="P38" s="10">
        <f t="shared" ref="P38:AM38" si="19">IF(AND(P$9&gt;=$M$35,P$9&lt;=$N$35),$I$35*$J$35*$C$35/$E$35,0)</f>
        <v>0</v>
      </c>
      <c r="Q38" s="10">
        <f t="shared" si="19"/>
        <v>0</v>
      </c>
      <c r="R38" s="10">
        <f t="shared" si="19"/>
        <v>0</v>
      </c>
      <c r="S38" s="10">
        <f t="shared" si="19"/>
        <v>0</v>
      </c>
      <c r="T38" s="10">
        <f t="shared" si="19"/>
        <v>0</v>
      </c>
      <c r="U38" s="10">
        <f t="shared" si="19"/>
        <v>0</v>
      </c>
      <c r="V38" s="10">
        <f t="shared" si="19"/>
        <v>0</v>
      </c>
      <c r="W38" s="10">
        <f t="shared" si="19"/>
        <v>600</v>
      </c>
      <c r="X38" s="10">
        <f t="shared" si="19"/>
        <v>600</v>
      </c>
      <c r="Y38" s="10">
        <f t="shared" si="19"/>
        <v>600</v>
      </c>
      <c r="Z38" s="10">
        <f t="shared" si="19"/>
        <v>600</v>
      </c>
      <c r="AA38" s="10">
        <f t="shared" si="19"/>
        <v>600</v>
      </c>
      <c r="AB38" s="10">
        <f t="shared" si="19"/>
        <v>600</v>
      </c>
      <c r="AC38" s="10">
        <f t="shared" si="19"/>
        <v>0</v>
      </c>
      <c r="AD38" s="10">
        <f t="shared" si="19"/>
        <v>0</v>
      </c>
      <c r="AE38" s="10">
        <f t="shared" si="19"/>
        <v>0</v>
      </c>
      <c r="AF38" s="10">
        <f t="shared" si="19"/>
        <v>0</v>
      </c>
      <c r="AG38" s="10">
        <f t="shared" si="19"/>
        <v>0</v>
      </c>
      <c r="AH38" s="10">
        <f t="shared" si="19"/>
        <v>0</v>
      </c>
      <c r="AI38" s="10">
        <f t="shared" si="19"/>
        <v>0</v>
      </c>
      <c r="AJ38" s="10">
        <f t="shared" si="19"/>
        <v>0</v>
      </c>
      <c r="AK38" s="10">
        <f t="shared" si="19"/>
        <v>0</v>
      </c>
      <c r="AL38" s="10">
        <f t="shared" si="19"/>
        <v>0</v>
      </c>
      <c r="AM38" s="10">
        <f t="shared" si="19"/>
        <v>0</v>
      </c>
    </row>
    <row r="39" spans="1:39" x14ac:dyDescent="0.3">
      <c r="A39" s="25" t="s">
        <v>60</v>
      </c>
      <c r="P39" s="10">
        <f t="shared" ref="P39:AM39" si="20">IF(AND(P$9-$K$35&gt;=$M$35,P$9-$K$35&lt;=$N$35),$I$35*$J$35*$C$35/$E$35,0)</f>
        <v>0</v>
      </c>
      <c r="Q39" s="10">
        <f t="shared" si="20"/>
        <v>0</v>
      </c>
      <c r="R39" s="10">
        <f t="shared" si="20"/>
        <v>0</v>
      </c>
      <c r="S39" s="10">
        <f t="shared" si="20"/>
        <v>0</v>
      </c>
      <c r="T39" s="10">
        <f t="shared" si="20"/>
        <v>0</v>
      </c>
      <c r="U39" s="10">
        <f t="shared" si="20"/>
        <v>0</v>
      </c>
      <c r="V39" s="10">
        <f t="shared" si="20"/>
        <v>0</v>
      </c>
      <c r="W39" s="10">
        <f t="shared" si="20"/>
        <v>0</v>
      </c>
      <c r="X39" s="10">
        <f t="shared" si="20"/>
        <v>0</v>
      </c>
      <c r="Y39" s="10">
        <f t="shared" si="20"/>
        <v>600</v>
      </c>
      <c r="Z39" s="10">
        <f t="shared" si="20"/>
        <v>600</v>
      </c>
      <c r="AA39" s="10">
        <f t="shared" si="20"/>
        <v>600</v>
      </c>
      <c r="AB39" s="10">
        <f t="shared" si="20"/>
        <v>600</v>
      </c>
      <c r="AC39" s="10">
        <f t="shared" si="20"/>
        <v>600</v>
      </c>
      <c r="AD39" s="10">
        <f t="shared" si="20"/>
        <v>600</v>
      </c>
      <c r="AE39" s="10">
        <f t="shared" si="20"/>
        <v>0</v>
      </c>
      <c r="AF39" s="10">
        <f t="shared" si="20"/>
        <v>0</v>
      </c>
      <c r="AG39" s="10">
        <f t="shared" si="20"/>
        <v>0</v>
      </c>
      <c r="AH39" s="10">
        <f t="shared" si="20"/>
        <v>0</v>
      </c>
      <c r="AI39" s="10">
        <f t="shared" si="20"/>
        <v>0</v>
      </c>
      <c r="AJ39" s="10">
        <f t="shared" si="20"/>
        <v>0</v>
      </c>
      <c r="AK39" s="10">
        <f t="shared" si="20"/>
        <v>0</v>
      </c>
      <c r="AL39" s="10">
        <f t="shared" si="20"/>
        <v>0</v>
      </c>
      <c r="AM39" s="10">
        <f t="shared" si="20"/>
        <v>0</v>
      </c>
    </row>
    <row r="41" spans="1:39" x14ac:dyDescent="0.3">
      <c r="A41" s="21" t="s">
        <v>66</v>
      </c>
      <c r="B41" s="22" t="s">
        <v>64</v>
      </c>
      <c r="C41" s="4">
        <v>0.25</v>
      </c>
      <c r="D41" s="3">
        <v>24000</v>
      </c>
      <c r="E41" s="5">
        <v>12</v>
      </c>
      <c r="F41" s="23">
        <v>46266</v>
      </c>
      <c r="G41" s="22" t="s">
        <v>55</v>
      </c>
      <c r="H41" s="22" t="s">
        <v>62</v>
      </c>
      <c r="I41" s="3">
        <v>4000</v>
      </c>
      <c r="J41" s="5">
        <v>8</v>
      </c>
      <c r="K41" s="5">
        <v>1</v>
      </c>
      <c r="L41" s="24">
        <f>YEAR(F41)*12+MONTH(F41)</f>
        <v>24321</v>
      </c>
      <c r="M41" s="24">
        <f>L41+IF(G41="Month After Signing",1,0)</f>
        <v>24321</v>
      </c>
      <c r="N41" s="24">
        <f>M41+E41-1</f>
        <v>24332</v>
      </c>
    </row>
    <row r="42" spans="1:39" x14ac:dyDescent="0.3">
      <c r="A42" s="25" t="s">
        <v>57</v>
      </c>
      <c r="P42" s="10">
        <f t="shared" ref="P42:AM42" si="21">IF(AND(P$9&gt;=$M$41,P$9&lt;=$N$41),$D$41/$E$41*$C$41,0)</f>
        <v>0</v>
      </c>
      <c r="Q42" s="10">
        <f t="shared" si="21"/>
        <v>0</v>
      </c>
      <c r="R42" s="10">
        <f t="shared" si="21"/>
        <v>0</v>
      </c>
      <c r="S42" s="10">
        <f t="shared" si="21"/>
        <v>0</v>
      </c>
      <c r="T42" s="10">
        <f t="shared" si="21"/>
        <v>0</v>
      </c>
      <c r="U42" s="10">
        <f t="shared" si="21"/>
        <v>0</v>
      </c>
      <c r="V42" s="10">
        <f t="shared" si="21"/>
        <v>0</v>
      </c>
      <c r="W42" s="10">
        <f t="shared" si="21"/>
        <v>0</v>
      </c>
      <c r="X42" s="10">
        <f t="shared" si="21"/>
        <v>500</v>
      </c>
      <c r="Y42" s="10">
        <f t="shared" si="21"/>
        <v>500</v>
      </c>
      <c r="Z42" s="10">
        <f t="shared" si="21"/>
        <v>500</v>
      </c>
      <c r="AA42" s="10">
        <f t="shared" si="21"/>
        <v>500</v>
      </c>
      <c r="AB42" s="10">
        <f t="shared" si="21"/>
        <v>500</v>
      </c>
      <c r="AC42" s="10">
        <f t="shared" si="21"/>
        <v>500</v>
      </c>
      <c r="AD42" s="10">
        <f t="shared" si="21"/>
        <v>500</v>
      </c>
      <c r="AE42" s="10">
        <f t="shared" si="21"/>
        <v>500</v>
      </c>
      <c r="AF42" s="10">
        <f t="shared" si="21"/>
        <v>500</v>
      </c>
      <c r="AG42" s="10">
        <f t="shared" si="21"/>
        <v>500</v>
      </c>
      <c r="AH42" s="10">
        <f t="shared" si="21"/>
        <v>500</v>
      </c>
      <c r="AI42" s="10">
        <f t="shared" si="21"/>
        <v>500</v>
      </c>
      <c r="AJ42" s="10">
        <f t="shared" si="21"/>
        <v>0</v>
      </c>
      <c r="AK42" s="10">
        <f t="shared" si="21"/>
        <v>0</v>
      </c>
      <c r="AL42" s="10">
        <f t="shared" si="21"/>
        <v>0</v>
      </c>
      <c r="AM42" s="10">
        <f t="shared" si="21"/>
        <v>0</v>
      </c>
    </row>
    <row r="43" spans="1:39" x14ac:dyDescent="0.3">
      <c r="A43" s="25" t="s">
        <v>58</v>
      </c>
      <c r="P43" s="10">
        <f t="shared" ref="P43:AM43" si="22">IF($H$41="Lump Sum at Signing",IF(P$9=$L$41,$D$41*$C$41,0),IF(AND(P$9&gt;=$M$41,P$9&lt;=$N$41),$D$41/$E$41*$C$41,0))</f>
        <v>0</v>
      </c>
      <c r="Q43" s="10">
        <f t="shared" si="22"/>
        <v>0</v>
      </c>
      <c r="R43" s="10">
        <f t="shared" si="22"/>
        <v>0</v>
      </c>
      <c r="S43" s="10">
        <f t="shared" si="22"/>
        <v>0</v>
      </c>
      <c r="T43" s="10">
        <f t="shared" si="22"/>
        <v>0</v>
      </c>
      <c r="U43" s="10">
        <f t="shared" si="22"/>
        <v>0</v>
      </c>
      <c r="V43" s="10">
        <f t="shared" si="22"/>
        <v>0</v>
      </c>
      <c r="W43" s="10">
        <f t="shared" si="22"/>
        <v>0</v>
      </c>
      <c r="X43" s="10">
        <f t="shared" si="22"/>
        <v>6000</v>
      </c>
      <c r="Y43" s="10">
        <f t="shared" si="22"/>
        <v>0</v>
      </c>
      <c r="Z43" s="10">
        <f t="shared" si="22"/>
        <v>0</v>
      </c>
      <c r="AA43" s="10">
        <f t="shared" si="22"/>
        <v>0</v>
      </c>
      <c r="AB43" s="10">
        <f t="shared" si="22"/>
        <v>0</v>
      </c>
      <c r="AC43" s="10">
        <f t="shared" si="22"/>
        <v>0</v>
      </c>
      <c r="AD43" s="10">
        <f t="shared" si="22"/>
        <v>0</v>
      </c>
      <c r="AE43" s="10">
        <f t="shared" si="22"/>
        <v>0</v>
      </c>
      <c r="AF43" s="10">
        <f t="shared" si="22"/>
        <v>0</v>
      </c>
      <c r="AG43" s="10">
        <f t="shared" si="22"/>
        <v>0</v>
      </c>
      <c r="AH43" s="10">
        <f t="shared" si="22"/>
        <v>0</v>
      </c>
      <c r="AI43" s="10">
        <f t="shared" si="22"/>
        <v>0</v>
      </c>
      <c r="AJ43" s="10">
        <f t="shared" si="22"/>
        <v>0</v>
      </c>
      <c r="AK43" s="10">
        <f t="shared" si="22"/>
        <v>0</v>
      </c>
      <c r="AL43" s="10">
        <f t="shared" si="22"/>
        <v>0</v>
      </c>
      <c r="AM43" s="10">
        <f t="shared" si="22"/>
        <v>0</v>
      </c>
    </row>
    <row r="44" spans="1:39" x14ac:dyDescent="0.3">
      <c r="A44" s="25" t="s">
        <v>59</v>
      </c>
      <c r="P44" s="10">
        <f t="shared" ref="P44:AM44" si="23">IF(AND(P$9&gt;=$M$41,P$9&lt;=$N$41),$I$41*$J$41*$C$41/$E$41,0)</f>
        <v>0</v>
      </c>
      <c r="Q44" s="10">
        <f t="shared" si="23"/>
        <v>0</v>
      </c>
      <c r="R44" s="10">
        <f t="shared" si="23"/>
        <v>0</v>
      </c>
      <c r="S44" s="10">
        <f t="shared" si="23"/>
        <v>0</v>
      </c>
      <c r="T44" s="10">
        <f t="shared" si="23"/>
        <v>0</v>
      </c>
      <c r="U44" s="10">
        <f t="shared" si="23"/>
        <v>0</v>
      </c>
      <c r="V44" s="10">
        <f t="shared" si="23"/>
        <v>0</v>
      </c>
      <c r="W44" s="10">
        <f t="shared" si="23"/>
        <v>0</v>
      </c>
      <c r="X44" s="10">
        <f t="shared" si="23"/>
        <v>666.66666666666663</v>
      </c>
      <c r="Y44" s="10">
        <f t="shared" si="23"/>
        <v>666.66666666666663</v>
      </c>
      <c r="Z44" s="10">
        <f t="shared" si="23"/>
        <v>666.66666666666663</v>
      </c>
      <c r="AA44" s="10">
        <f t="shared" si="23"/>
        <v>666.66666666666663</v>
      </c>
      <c r="AB44" s="10">
        <f t="shared" si="23"/>
        <v>666.66666666666663</v>
      </c>
      <c r="AC44" s="10">
        <f t="shared" si="23"/>
        <v>666.66666666666663</v>
      </c>
      <c r="AD44" s="10">
        <f t="shared" si="23"/>
        <v>666.66666666666663</v>
      </c>
      <c r="AE44" s="10">
        <f t="shared" si="23"/>
        <v>666.66666666666663</v>
      </c>
      <c r="AF44" s="10">
        <f t="shared" si="23"/>
        <v>666.66666666666663</v>
      </c>
      <c r="AG44" s="10">
        <f t="shared" si="23"/>
        <v>666.66666666666663</v>
      </c>
      <c r="AH44" s="10">
        <f t="shared" si="23"/>
        <v>666.66666666666663</v>
      </c>
      <c r="AI44" s="10">
        <f t="shared" si="23"/>
        <v>666.66666666666663</v>
      </c>
      <c r="AJ44" s="10">
        <f t="shared" si="23"/>
        <v>0</v>
      </c>
      <c r="AK44" s="10">
        <f t="shared" si="23"/>
        <v>0</v>
      </c>
      <c r="AL44" s="10">
        <f t="shared" si="23"/>
        <v>0</v>
      </c>
      <c r="AM44" s="10">
        <f t="shared" si="23"/>
        <v>0</v>
      </c>
    </row>
    <row r="45" spans="1:39" x14ac:dyDescent="0.3">
      <c r="A45" s="25" t="s">
        <v>60</v>
      </c>
      <c r="P45" s="10">
        <f t="shared" ref="P45:AM45" si="24">IF(AND(P$9-$K$41&gt;=$M$41,P$9-$K$41&lt;=$N$41),$I$41*$J$41*$C$41/$E$41,0)</f>
        <v>0</v>
      </c>
      <c r="Q45" s="10">
        <f t="shared" si="24"/>
        <v>0</v>
      </c>
      <c r="R45" s="10">
        <f t="shared" si="24"/>
        <v>0</v>
      </c>
      <c r="S45" s="10">
        <f t="shared" si="24"/>
        <v>0</v>
      </c>
      <c r="T45" s="10">
        <f t="shared" si="24"/>
        <v>0</v>
      </c>
      <c r="U45" s="10">
        <f t="shared" si="24"/>
        <v>0</v>
      </c>
      <c r="V45" s="10">
        <f t="shared" si="24"/>
        <v>0</v>
      </c>
      <c r="W45" s="10">
        <f t="shared" si="24"/>
        <v>0</v>
      </c>
      <c r="X45" s="10">
        <f t="shared" si="24"/>
        <v>0</v>
      </c>
      <c r="Y45" s="10">
        <f t="shared" si="24"/>
        <v>666.66666666666663</v>
      </c>
      <c r="Z45" s="10">
        <f t="shared" si="24"/>
        <v>666.66666666666663</v>
      </c>
      <c r="AA45" s="10">
        <f t="shared" si="24"/>
        <v>666.66666666666663</v>
      </c>
      <c r="AB45" s="10">
        <f t="shared" si="24"/>
        <v>666.66666666666663</v>
      </c>
      <c r="AC45" s="10">
        <f t="shared" si="24"/>
        <v>666.66666666666663</v>
      </c>
      <c r="AD45" s="10">
        <f t="shared" si="24"/>
        <v>666.66666666666663</v>
      </c>
      <c r="AE45" s="10">
        <f t="shared" si="24"/>
        <v>666.66666666666663</v>
      </c>
      <c r="AF45" s="10">
        <f t="shared" si="24"/>
        <v>666.66666666666663</v>
      </c>
      <c r="AG45" s="10">
        <f t="shared" si="24"/>
        <v>666.66666666666663</v>
      </c>
      <c r="AH45" s="10">
        <f t="shared" si="24"/>
        <v>666.66666666666663</v>
      </c>
      <c r="AI45" s="10">
        <f t="shared" si="24"/>
        <v>666.66666666666663</v>
      </c>
      <c r="AJ45" s="10">
        <f t="shared" si="24"/>
        <v>666.66666666666663</v>
      </c>
      <c r="AK45" s="10">
        <f t="shared" si="24"/>
        <v>0</v>
      </c>
      <c r="AL45" s="10">
        <f t="shared" si="24"/>
        <v>0</v>
      </c>
      <c r="AM45" s="10">
        <f t="shared" si="24"/>
        <v>0</v>
      </c>
    </row>
    <row r="47" spans="1:39" x14ac:dyDescent="0.3">
      <c r="A47" s="1" t="s">
        <v>67</v>
      </c>
      <c r="P47" s="11">
        <f t="shared" ref="P47:AM47" si="25">SUM(P12,P14,P18,P20,P24,P26,P30,P32,P36,P38,P42,P44)</f>
        <v>6500</v>
      </c>
      <c r="Q47" s="11">
        <f t="shared" si="25"/>
        <v>14500</v>
      </c>
      <c r="R47" s="11">
        <f t="shared" si="25"/>
        <v>14500</v>
      </c>
      <c r="S47" s="11">
        <f t="shared" si="25"/>
        <v>20055.555555555555</v>
      </c>
      <c r="T47" s="11">
        <f t="shared" si="25"/>
        <v>20055.555555555555</v>
      </c>
      <c r="U47" s="11">
        <f t="shared" si="25"/>
        <v>20055.555555555555</v>
      </c>
      <c r="V47" s="11">
        <f t="shared" si="25"/>
        <v>23388.888888888887</v>
      </c>
      <c r="W47" s="11">
        <f t="shared" si="25"/>
        <v>17188.888888888891</v>
      </c>
      <c r="X47" s="11">
        <f t="shared" si="25"/>
        <v>18355.555555555558</v>
      </c>
      <c r="Y47" s="11">
        <f t="shared" si="25"/>
        <v>18355.555555555558</v>
      </c>
      <c r="Z47" s="11">
        <f t="shared" si="25"/>
        <v>18355.555555555558</v>
      </c>
      <c r="AA47" s="11">
        <f t="shared" si="25"/>
        <v>18355.555555555558</v>
      </c>
      <c r="AB47" s="11">
        <f t="shared" si="25"/>
        <v>6300</v>
      </c>
      <c r="AC47" s="11">
        <f t="shared" si="25"/>
        <v>4500</v>
      </c>
      <c r="AD47" s="11">
        <f t="shared" si="25"/>
        <v>4500</v>
      </c>
      <c r="AE47" s="11">
        <f t="shared" si="25"/>
        <v>1166.6666666666665</v>
      </c>
      <c r="AF47" s="11">
        <f t="shared" si="25"/>
        <v>1166.6666666666665</v>
      </c>
      <c r="AG47" s="11">
        <f t="shared" si="25"/>
        <v>1166.6666666666665</v>
      </c>
      <c r="AH47" s="11">
        <f t="shared" si="25"/>
        <v>1166.6666666666665</v>
      </c>
      <c r="AI47" s="11">
        <f t="shared" si="25"/>
        <v>1166.6666666666665</v>
      </c>
      <c r="AJ47" s="11">
        <f t="shared" si="25"/>
        <v>0</v>
      </c>
      <c r="AK47" s="11">
        <f t="shared" si="25"/>
        <v>0</v>
      </c>
      <c r="AL47" s="11">
        <f t="shared" si="25"/>
        <v>0</v>
      </c>
      <c r="AM47" s="11">
        <f t="shared" si="25"/>
        <v>0</v>
      </c>
    </row>
    <row r="48" spans="1:39" x14ac:dyDescent="0.3">
      <c r="A48" s="1" t="s">
        <v>68</v>
      </c>
      <c r="P48" s="11">
        <f t="shared" ref="P48:AM48" si="26">SUM(P13,P15,P19,P21,P25,P27,P31,P33,P37,P39,P43,P45)</f>
        <v>4500</v>
      </c>
      <c r="Q48" s="11">
        <f t="shared" si="26"/>
        <v>54500</v>
      </c>
      <c r="R48" s="11">
        <f t="shared" si="26"/>
        <v>6500</v>
      </c>
      <c r="S48" s="11">
        <f t="shared" si="26"/>
        <v>10500</v>
      </c>
      <c r="T48" s="11">
        <f t="shared" si="26"/>
        <v>10500</v>
      </c>
      <c r="U48" s="11">
        <f t="shared" si="26"/>
        <v>12055.555555555555</v>
      </c>
      <c r="V48" s="11">
        <f t="shared" si="26"/>
        <v>14055.555555555555</v>
      </c>
      <c r="W48" s="11">
        <f t="shared" si="26"/>
        <v>16588.888888888891</v>
      </c>
      <c r="X48" s="11">
        <f t="shared" si="26"/>
        <v>22588.888888888891</v>
      </c>
      <c r="Y48" s="11">
        <f t="shared" si="26"/>
        <v>17855.555555555558</v>
      </c>
      <c r="Z48" s="11">
        <f t="shared" si="26"/>
        <v>17855.555555555558</v>
      </c>
      <c r="AA48" s="11">
        <f t="shared" si="26"/>
        <v>17855.555555555558</v>
      </c>
      <c r="AB48" s="11">
        <f t="shared" si="26"/>
        <v>9355.5555555555547</v>
      </c>
      <c r="AC48" s="11">
        <f t="shared" si="26"/>
        <v>6155.5555555555557</v>
      </c>
      <c r="AD48" s="11">
        <f t="shared" si="26"/>
        <v>4600</v>
      </c>
      <c r="AE48" s="11">
        <f t="shared" si="26"/>
        <v>2000</v>
      </c>
      <c r="AF48" s="11">
        <f t="shared" si="26"/>
        <v>666.66666666666663</v>
      </c>
      <c r="AG48" s="11">
        <f t="shared" si="26"/>
        <v>666.66666666666663</v>
      </c>
      <c r="AH48" s="11">
        <f t="shared" si="26"/>
        <v>666.66666666666663</v>
      </c>
      <c r="AI48" s="11">
        <f t="shared" si="26"/>
        <v>666.66666666666663</v>
      </c>
      <c r="AJ48" s="11">
        <f t="shared" si="26"/>
        <v>666.66666666666663</v>
      </c>
      <c r="AK48" s="11">
        <f t="shared" si="26"/>
        <v>0</v>
      </c>
      <c r="AL48" s="11">
        <f t="shared" si="26"/>
        <v>0</v>
      </c>
      <c r="AM48" s="11">
        <f t="shared" si="26"/>
        <v>0</v>
      </c>
    </row>
  </sheetData>
  <mergeCells count="6">
    <mergeCell ref="A5:AM5"/>
    <mergeCell ref="A1:AM1"/>
    <mergeCell ref="A6:AM6"/>
    <mergeCell ref="A4:AM4"/>
    <mergeCell ref="A3:AM3"/>
    <mergeCell ref="A2:AM2"/>
  </mergeCells>
  <dataValidations count="3">
    <dataValidation type="list" allowBlank="1" sqref="B11 B17 B23 B29 B35 B41" xr:uid="{00000000-0002-0000-0200-000000000000}">
      <formula1>"Signed,Pipeline"</formula1>
    </dataValidation>
    <dataValidation type="list" allowBlank="1" sqref="G11 G17 G23 G29 G35 G41" xr:uid="{00000000-0002-0000-0200-000001000000}">
      <formula1>"Signing Month,Month After Signing"</formula1>
    </dataValidation>
    <dataValidation type="list" allowBlank="1" sqref="H11 H17 H23 H29 H35 H41" xr:uid="{00000000-0002-0000-0200-000002000000}">
      <formula1>"Lump Sum at Signing,Spread Monthly (=Accrual)"</formula1>
    </dataValidation>
  </dataValidation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workbookViewId="0">
      <selection sqref="A1:F1"/>
    </sheetView>
  </sheetViews>
  <sheetFormatPr defaultRowHeight="14.4" x14ac:dyDescent="0.3"/>
  <cols>
    <col min="1" max="1" width="4" customWidth="1"/>
    <col min="2" max="2" width="30" customWidth="1"/>
    <col min="3" max="4" width="20" customWidth="1"/>
    <col min="5" max="5" width="30" customWidth="1"/>
    <col min="6" max="6" width="20" customWidth="1"/>
  </cols>
  <sheetData>
    <row r="1" spans="1:6" ht="25.95" customHeight="1" x14ac:dyDescent="0.3">
      <c r="A1" s="27" t="s">
        <v>69</v>
      </c>
      <c r="B1" s="28"/>
      <c r="C1" s="28"/>
      <c r="D1" s="28"/>
      <c r="E1" s="28"/>
      <c r="F1" s="28"/>
    </row>
    <row r="3" spans="1:6" x14ac:dyDescent="0.3">
      <c r="A3" s="12" t="s">
        <v>70</v>
      </c>
      <c r="B3" s="12" t="s">
        <v>71</v>
      </c>
      <c r="E3" s="12" t="s">
        <v>72</v>
      </c>
    </row>
    <row r="4" spans="1:6" ht="48" customHeight="1" x14ac:dyDescent="0.3">
      <c r="A4" s="26" t="s">
        <v>73</v>
      </c>
      <c r="B4" s="30" t="s">
        <v>74</v>
      </c>
      <c r="C4" s="28"/>
      <c r="D4" s="28"/>
      <c r="E4" s="31" t="s">
        <v>75</v>
      </c>
      <c r="F4" s="28"/>
    </row>
    <row r="6" spans="1:6" ht="48" customHeight="1" x14ac:dyDescent="0.3">
      <c r="A6" s="26" t="s">
        <v>76</v>
      </c>
      <c r="B6" s="30" t="s">
        <v>77</v>
      </c>
      <c r="C6" s="28"/>
      <c r="D6" s="28"/>
      <c r="E6" s="31" t="s">
        <v>78</v>
      </c>
      <c r="F6" s="28"/>
    </row>
    <row r="8" spans="1:6" ht="48" customHeight="1" x14ac:dyDescent="0.3">
      <c r="A8" s="26" t="s">
        <v>79</v>
      </c>
      <c r="B8" s="30" t="s">
        <v>80</v>
      </c>
      <c r="C8" s="28"/>
      <c r="D8" s="28"/>
      <c r="E8" s="31" t="s">
        <v>81</v>
      </c>
      <c r="F8" s="28"/>
    </row>
    <row r="10" spans="1:6" ht="48" customHeight="1" x14ac:dyDescent="0.3">
      <c r="A10" s="26" t="s">
        <v>82</v>
      </c>
      <c r="B10" s="30" t="s">
        <v>83</v>
      </c>
      <c r="C10" s="28"/>
      <c r="D10" s="28"/>
      <c r="E10" s="31"/>
      <c r="F10" s="28"/>
    </row>
  </sheetData>
  <mergeCells count="9">
    <mergeCell ref="B10:D10"/>
    <mergeCell ref="E4:F4"/>
    <mergeCell ref="E6:F6"/>
    <mergeCell ref="E10:F10"/>
    <mergeCell ref="A1:F1"/>
    <mergeCell ref="B8:D8"/>
    <mergeCell ref="B4:D4"/>
    <mergeCell ref="B6:D6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Current - Aggregate</vt:lpstr>
      <vt:lpstr>2. Current - Per Customer</vt:lpstr>
      <vt:lpstr>3. New - CSM-Linked</vt:lpstr>
      <vt:lpstr>Questions for Brennan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Kayee Leong</cp:lastModifiedBy>
  <dcterms:created xsi:type="dcterms:W3CDTF">2026-08-31T18:26:02Z</dcterms:created>
  <dcterms:modified xsi:type="dcterms:W3CDTF">2026-08-31T20:07:45Z</dcterms:modified>
</cp:coreProperties>
</file>